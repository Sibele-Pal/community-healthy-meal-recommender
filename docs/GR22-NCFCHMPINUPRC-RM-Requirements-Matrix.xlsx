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utta\Desktop\"/>
    </mc:Choice>
  </mc:AlternateContent>
  <bookViews>
    <workbookView xWindow="0" yWindow="0" windowWidth="23040" windowHeight="9252" activeTab="1"/>
  </bookViews>
  <sheets>
    <sheet name="Instructions" sheetId="1" r:id="rId1"/>
    <sheet name="Traceability Matrix" sheetId="2" r:id="rId2"/>
    <sheet name="Statistic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B1WLfiIWmEQ+2JbGseW/CytfVSm3xxccS1Mea//ReUQ=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8" i="3"/>
  <c r="C7" i="3"/>
  <c r="C6" i="3"/>
  <c r="C5" i="3"/>
  <c r="C4" i="3"/>
  <c r="C3" i="3"/>
  <c r="C2" i="3"/>
  <c r="A2" i="1"/>
  <c r="B2" i="1" s="1"/>
  <c r="D4" i="3" l="1"/>
  <c r="D6" i="3"/>
  <c r="D7" i="3"/>
</calcChain>
</file>

<file path=xl/sharedStrings.xml><?xml version="1.0" encoding="utf-8"?>
<sst xmlns="http://schemas.openxmlformats.org/spreadsheetml/2006/main" count="301" uniqueCount="199">
  <si>
    <t>Instructions For Completing This Document</t>
  </si>
  <si>
    <t>0)</t>
  </si>
  <si>
    <t>Please use latest circulated version for populating your data.</t>
  </si>
  <si>
    <t>1)</t>
  </si>
  <si>
    <t>Please do not merge cells. Each row represents a distinct requirement. No cell should be left as blank.</t>
  </si>
  <si>
    <t>2)</t>
  </si>
  <si>
    <t>For each requirement item under your project, complete the following:</t>
  </si>
  <si>
    <t>Rqmt ID: A unique ID number used to identify the specific requirement item. This should preferably contain the requirement area short code as the prefix.</t>
  </si>
  <si>
    <t>Requirement Item: This column should be populated with a description of the functional requirement. It can also state the non-functional requirements, e.g. performamnce, portability. Security etc.</t>
  </si>
  <si>
    <t>Requirement Status: This column should be populated with the current status of the functional requirement: 
- Open (analysis not started), 
- In-progress (ongoing analysis), 
- Cancelled (cancelled after analysis and will not be required in design onwards phases), 
- Completed (analysis completed and selected for design onwards phases). 
For a header requirement item (e.g. Verify user credentials), status should be open if all underlying requirement items (e.g. Validate encrypted password) are in open status else in-progress. All all underlying items are completed / cancelled, then header requirement can be safely marked as completed.</t>
  </si>
  <si>
    <t>Design Module: This column should be populated with the short code of design module.</t>
  </si>
  <si>
    <t>Design Reference:  Use subsections, e.g. 5.3.1, 5.3.2 etc. as appropriate. Use comma separation in case of multiple design modules / section references for a single requirement item.</t>
  </si>
  <si>
    <t>Test Case Number: This column should be populated with the test case number linked to the functional requirement. Use comma separation in case of multiple test cases for a single requirement item.</t>
  </si>
  <si>
    <t>Technical Platform of Implementation: This column should be populated with the appropriate hardware / software platform, tools etc.</t>
  </si>
  <si>
    <t>Prototype Prepared?: This column should be populated with Yes / No value, and should be demonstrated if the response is Yes.</t>
  </si>
  <si>
    <t>Name of Program / Component: This column should be populated with the appropriate name of programme / components.</t>
  </si>
  <si>
    <t>.</t>
  </si>
  <si>
    <t>Test Result Reference: This column should be populated with the name of the file with test results / output after tests followed from Test Plan.</t>
  </si>
  <si>
    <t>Additional Comments: This column should be populated with any additional comments (optional).</t>
  </si>
  <si>
    <t>3)</t>
  </si>
  <si>
    <t>Columns A-C should be filled before Internal Assessment (7th Semester Checkpoint Review) showing the completion of Analysis phase. All other columns should be emptied.</t>
  </si>
  <si>
    <t xml:space="preserve">4) </t>
  </si>
  <si>
    <t>Columns A-H should be completed before 7th Semester closure showing the completion of Design phase.  All other columns should be emptied.</t>
  </si>
  <si>
    <t xml:space="preserve">5) </t>
  </si>
  <si>
    <t>Column I-K should be filled in 8th Semester showing the completion of Coding &amp; Testing phases. All columns are now filled.</t>
  </si>
  <si>
    <t>Rqmt ID</t>
  </si>
  <si>
    <t>Requirement Item</t>
  </si>
  <si>
    <t>Requirement Analysis Status</t>
  </si>
  <si>
    <t>Design Module</t>
  </si>
  <si>
    <t>Design Reference (section# under project Report)</t>
  </si>
  <si>
    <t>Test Case
Number</t>
  </si>
  <si>
    <t>Technical Platform of Implementation</t>
  </si>
  <si>
    <t>Prototype prepared ?</t>
  </si>
  <si>
    <t>Name of Program / Component</t>
  </si>
  <si>
    <t>Own code or Reusable component (with source reference)?</t>
  </si>
  <si>
    <t xml:space="preserve">Test Results Reference </t>
  </si>
  <si>
    <t>Additional Comments (if not included in previous columns)</t>
  </si>
  <si>
    <t>Data Collection and Preprocessing</t>
  </si>
  <si>
    <t>Completed</t>
  </si>
  <si>
    <t>8.2.1</t>
  </si>
  <si>
    <t>TC-1</t>
  </si>
  <si>
    <t>Yes</t>
  </si>
  <si>
    <t>Own code</t>
  </si>
  <si>
    <t>8.2.2</t>
  </si>
  <si>
    <t>TC-2</t>
  </si>
  <si>
    <t>In-progress</t>
  </si>
  <si>
    <t>TC-3</t>
  </si>
  <si>
    <t>TC-4</t>
  </si>
  <si>
    <t>TC-5</t>
  </si>
  <si>
    <t>TC-6</t>
  </si>
  <si>
    <t>Read Only</t>
  </si>
  <si>
    <t>TIG/CSE/UD/RQMT_MATX_TEMPL v1.6</t>
  </si>
  <si>
    <t>Requirements</t>
  </si>
  <si>
    <t>Designed</t>
  </si>
  <si>
    <t>Test Case Coverage</t>
  </si>
  <si>
    <t>Technical Platform</t>
  </si>
  <si>
    <t>Prototype Coverage</t>
  </si>
  <si>
    <t>Program coverage</t>
  </si>
  <si>
    <t>Test Results</t>
  </si>
  <si>
    <t>Cancelled</t>
  </si>
  <si>
    <t>Open</t>
  </si>
  <si>
    <t>DCP-7.2.1</t>
  </si>
  <si>
    <t>7.2.1</t>
  </si>
  <si>
    <t>VSCode, Python</t>
  </si>
  <si>
    <t>Data Preprocessing Module</t>
  </si>
  <si>
    <t>logs/, outputs/</t>
  </si>
  <si>
    <t>DCP-7.2.1.1</t>
  </si>
  <si>
    <t>Food nutrition dataset ingestion</t>
  </si>
  <si>
    <t>7.2.1.1</t>
  </si>
  <si>
    <t>Food Dataset Loader</t>
  </si>
  <si>
    <t>DCP-7.2.1.2</t>
  </si>
  <si>
    <t>User interaction data ingestion</t>
  </si>
  <si>
    <t>7.2.1.2</t>
  </si>
  <si>
    <t>Interaction Loader</t>
  </si>
  <si>
    <t>DCP-7.2.1.3</t>
  </si>
  <si>
    <t>Data cleaning &amp; normalization</t>
  </si>
  <si>
    <t>preprocess.py</t>
  </si>
  <si>
    <t>7.2.1.3</t>
  </si>
  <si>
    <t>Cleaning Pipeline</t>
  </si>
  <si>
    <t>ingest.py</t>
  </si>
  <si>
    <t>DCP-7.2.1.4</t>
  </si>
  <si>
    <t>Nutrient unit standardization</t>
  </si>
  <si>
    <t>7.2.1.4</t>
  </si>
  <si>
    <t>Nutrient Normalizer</t>
  </si>
  <si>
    <t>FE-7.2.2</t>
  </si>
  <si>
    <t>Feature Engineering &amp; Embedding Generation</t>
  </si>
  <si>
    <t>item_embeddings.py</t>
  </si>
  <si>
    <t>7.2.2</t>
  </si>
  <si>
    <t>Embedding Module</t>
  </si>
  <si>
    <t>outputs/</t>
  </si>
  <si>
    <t>FE-7.2.2.1</t>
  </si>
  <si>
    <t>Nutritional feature extraction</t>
  </si>
  <si>
    <t>7.2.2.1</t>
  </si>
  <si>
    <t>Nutrition Vector Builder</t>
  </si>
  <si>
    <t>FE-7.2.2.2</t>
  </si>
  <si>
    <t>Food metadata encoding</t>
  </si>
  <si>
    <t>7.2.2.2</t>
  </si>
  <si>
    <t>Metadata Encoder</t>
  </si>
  <si>
    <t>FE-7.2.2.3</t>
  </si>
  <si>
    <t>Food embedding computation</t>
  </si>
  <si>
    <t>7.2.2.3</t>
  </si>
  <si>
    <t>Embedding Generator</t>
  </si>
  <si>
    <t>MF-7.2.3</t>
  </si>
  <si>
    <t>Matrix Factorization Model</t>
  </si>
  <si>
    <t>trainer.py</t>
  </si>
  <si>
    <t>7.2.3</t>
  </si>
  <si>
    <t>VSCode, PyTorch</t>
  </si>
  <si>
    <t>MF Training Module</t>
  </si>
  <si>
    <t>model_logs/</t>
  </si>
  <si>
    <t>MF-7.2.3.1</t>
  </si>
  <si>
    <t>User–item interaction matrix creation</t>
  </si>
  <si>
    <t>7.2.3.1</t>
  </si>
  <si>
    <t>Interaction Matrix Builder</t>
  </si>
  <si>
    <t>MF-7.2.3.2</t>
  </si>
  <si>
    <t>Latent factor learning</t>
  </si>
  <si>
    <t>7.2.3.2</t>
  </si>
  <si>
    <t>MF Optimizer</t>
  </si>
  <si>
    <t>MF-7.2.3.3</t>
  </si>
  <si>
    <t>Model persistence</t>
  </si>
  <si>
    <t>7.2.3.3</t>
  </si>
  <si>
    <t>Model Saver</t>
  </si>
  <si>
    <t>SEQ-7.2.4</t>
  </si>
  <si>
    <t>Sequential Food Consumption Modeling</t>
  </si>
  <si>
    <t>sequence_trainer.py</t>
  </si>
  <si>
    <t>7.2.4</t>
  </si>
  <si>
    <t>Transformer Module</t>
  </si>
  <si>
    <t>SEQ-7.2.4.1</t>
  </si>
  <si>
    <t>Food sequence construction</t>
  </si>
  <si>
    <t>7.2.4.1</t>
  </si>
  <si>
    <t>Sequence Builder</t>
  </si>
  <si>
    <t>SEQ-7.2.4.2</t>
  </si>
  <si>
    <t>Positional encoding</t>
  </si>
  <si>
    <t>7.2.4.2</t>
  </si>
  <si>
    <t>Position Encoder</t>
  </si>
  <si>
    <t>SEQ-7.2.4.3</t>
  </si>
  <si>
    <t>Self-attention computation</t>
  </si>
  <si>
    <t>7.2.4.3</t>
  </si>
  <si>
    <t>Attention Layer</t>
  </si>
  <si>
    <t>HSC-7.2.5</t>
  </si>
  <si>
    <t>Health-Aware &amp; Safety-Aware Scoring</t>
  </si>
  <si>
    <t>recommend.py</t>
  </si>
  <si>
    <t>7.2.5</t>
  </si>
  <si>
    <t>Scoring Engine</t>
  </si>
  <si>
    <t>logs/</t>
  </si>
  <si>
    <t>HSC-7.2.5.1</t>
  </si>
  <si>
    <t>Health condition-based penalty</t>
  </si>
  <si>
    <t>7.2.5.1</t>
  </si>
  <si>
    <t>Health Penalty Module</t>
  </si>
  <si>
    <t>HSC-7.2.5.2</t>
  </si>
  <si>
    <t>Dietary goal-based adjustment</t>
  </si>
  <si>
    <t>7.2.5.2</t>
  </si>
  <si>
    <t>Goal Scorer</t>
  </si>
  <si>
    <t>HSC-7.2.5.3</t>
  </si>
  <si>
    <t>Food safety risk scoring</t>
  </si>
  <si>
    <t>7.2.5.3</t>
  </si>
  <si>
    <t>Safety Scorer</t>
  </si>
  <si>
    <t>API-7.2.6</t>
  </si>
  <si>
    <t>REST API for Food Recommendation</t>
  </si>
  <si>
    <t>api.py</t>
  </si>
  <si>
    <t>7.2.6</t>
  </si>
  <si>
    <t>FastAPI</t>
  </si>
  <si>
    <t>API Service</t>
  </si>
  <si>
    <t>response_logs/</t>
  </si>
  <si>
    <t>API-7.2.6.1</t>
  </si>
  <si>
    <t>JSON request parsing</t>
  </si>
  <si>
    <t>7.2.6.1</t>
  </si>
  <si>
    <t>Request Handler</t>
  </si>
  <si>
    <t>API-7.2.6.2</t>
  </si>
  <si>
    <t>Top-K recommendation response</t>
  </si>
  <si>
    <t>7.2.6.2</t>
  </si>
  <si>
    <t>Response Formatter</t>
  </si>
  <si>
    <t>Family-centric food recommendation</t>
  </si>
  <si>
    <t>family_engine.py</t>
  </si>
  <si>
    <t>FAM-8.1</t>
  </si>
  <si>
    <t>No</t>
  </si>
  <si>
    <t>Joint preference aggregation</t>
  </si>
  <si>
    <t>FAM-8.1.1</t>
  </si>
  <si>
    <t>Multi-member preference fusion</t>
  </si>
  <si>
    <t>8.1.1</t>
  </si>
  <si>
    <t>Weighted resolution</t>
  </si>
  <si>
    <t>FAM-8.1.2</t>
  </si>
  <si>
    <t>Age-specific nutrition constraints</t>
  </si>
  <si>
    <t>family_rules.py</t>
  </si>
  <si>
    <t>8.1.2</t>
  </si>
  <si>
    <t>Child &amp; elderly focus</t>
  </si>
  <si>
    <t>MEAL-8.2</t>
  </si>
  <si>
    <t>Daily meal planning</t>
  </si>
  <si>
    <t>meal_planner.py</t>
  </si>
  <si>
    <t>Breakfast, lunch, dinner</t>
  </si>
  <si>
    <t>MEAL-8.2.1</t>
  </si>
  <si>
    <t>Calorie &amp; macro balancing</t>
  </si>
  <si>
    <t>Goal-aware</t>
  </si>
  <si>
    <t>MEAL-8.2.2</t>
  </si>
  <si>
    <t>Weekly meal schedule</t>
  </si>
  <si>
    <t>scheduler.py</t>
  </si>
  <si>
    <t>Future enhancement</t>
  </si>
  <si>
    <t>nutrition_features.py</t>
  </si>
  <si>
    <t>attention_fusion.py</t>
  </si>
  <si>
    <t>nutrition_features.py, text_features.py, build_bipartite.py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</si>
</sst>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26" x14ac:knownFonts="1">
    <font>
      <sz val="10"/>
      <color rgb="FF000000"/>
      <name val="Arial"/>
      <scheme val="minor"/>
    </font>
    <font>
      <b/>
      <sz val="8"/>
      <color rgb="FF4F81BD"/>
      <name val="Arial"/>
    </font>
    <font>
      <b/>
      <sz val="7"/>
      <color rgb="FFFFFFFF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0"/>
      <color rgb="FF0000FF"/>
      <name val="Arial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sz val="12"/>
      <color rgb="FFFF0000"/>
      <name val="Times New Roman"/>
    </font>
    <font>
      <sz val="12"/>
      <color theme="1"/>
      <name val="Times New Roman"/>
    </font>
    <font>
      <sz val="12"/>
      <color rgb="FFFF0000"/>
      <name val="Times New Roman"/>
    </font>
    <font>
      <b/>
      <sz val="8"/>
      <color rgb="FFFFFFFF"/>
      <name val="Arial"/>
    </font>
    <font>
      <sz val="7"/>
      <color rgb="FF4F81BD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color rgb="FFFF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8"/>
      <color theme="1"/>
      <name val="Arial"/>
    </font>
    <font>
      <b/>
      <i/>
      <sz val="8"/>
      <color theme="1"/>
      <name val="Arial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vertical="top" wrapText="1"/>
    </xf>
    <xf numFmtId="49" fontId="6" fillId="3" borderId="4" xfId="0" applyNumberFormat="1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49" fontId="6" fillId="0" borderId="4" xfId="0" applyNumberFormat="1" applyFont="1" applyBorder="1" applyAlignment="1">
      <alignment vertical="top" wrapText="1"/>
    </xf>
    <xf numFmtId="0" fontId="7" fillId="0" borderId="4" xfId="0" applyFont="1" applyBorder="1" applyAlignment="1">
      <alignment horizontal="left" vertical="top" wrapText="1"/>
    </xf>
    <xf numFmtId="49" fontId="6" fillId="0" borderId="0" xfId="0" applyNumberFormat="1" applyFont="1" applyAlignme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11" fillId="0" borderId="0" xfId="0" applyFont="1"/>
    <xf numFmtId="49" fontId="11" fillId="0" borderId="8" xfId="0" applyNumberFormat="1" applyFont="1" applyBorder="1" applyAlignment="1">
      <alignment horizontal="center" vertical="top" wrapText="1"/>
    </xf>
    <xf numFmtId="49" fontId="11" fillId="0" borderId="4" xfId="0" applyNumberFormat="1" applyFont="1" applyBorder="1" applyAlignment="1">
      <alignment horizontal="center" vertical="top" wrapText="1"/>
    </xf>
    <xf numFmtId="164" fontId="12" fillId="0" borderId="6" xfId="0" applyNumberFormat="1" applyFont="1" applyBorder="1" applyAlignment="1">
      <alignment horizontal="center" vertical="top"/>
    </xf>
    <xf numFmtId="164" fontId="11" fillId="0" borderId="7" xfId="0" applyNumberFormat="1" applyFont="1" applyBorder="1" applyAlignment="1">
      <alignment horizontal="center" vertical="top"/>
    </xf>
    <xf numFmtId="49" fontId="11" fillId="0" borderId="10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left" vertical="top"/>
    </xf>
    <xf numFmtId="49" fontId="11" fillId="0" borderId="9" xfId="0" applyNumberFormat="1" applyFont="1" applyBorder="1" applyAlignment="1">
      <alignment horizontal="center" vertical="top" wrapText="1"/>
    </xf>
    <xf numFmtId="164" fontId="11" fillId="0" borderId="3" xfId="0" applyNumberFormat="1" applyFont="1" applyBorder="1" applyAlignment="1">
      <alignment horizontal="center" vertical="top" wrapText="1"/>
    </xf>
    <xf numFmtId="164" fontId="11" fillId="0" borderId="9" xfId="0" applyNumberFormat="1" applyFont="1" applyBorder="1" applyAlignment="1">
      <alignment horizontal="center" vertical="top"/>
    </xf>
    <xf numFmtId="49" fontId="11" fillId="0" borderId="10" xfId="0" applyNumberFormat="1" applyFont="1" applyBorder="1" applyAlignment="1">
      <alignment horizontal="left" vertical="top"/>
    </xf>
    <xf numFmtId="49" fontId="11" fillId="0" borderId="4" xfId="0" applyNumberFormat="1" applyFont="1" applyBorder="1" applyAlignment="1">
      <alignment vertical="top" wrapText="1"/>
    </xf>
    <xf numFmtId="0" fontId="12" fillId="0" borderId="0" xfId="0" applyFont="1" applyAlignment="1">
      <alignment horizontal="center"/>
    </xf>
    <xf numFmtId="0" fontId="3" fillId="0" borderId="0" xfId="0" applyFont="1"/>
    <xf numFmtId="0" fontId="13" fillId="2" borderId="1" xfId="0" applyFont="1" applyFill="1" applyBorder="1"/>
    <xf numFmtId="0" fontId="3" fillId="0" borderId="0" xfId="0" applyFont="1" applyAlignment="1">
      <alignment horizontal="center"/>
    </xf>
    <xf numFmtId="0" fontId="14" fillId="0" borderId="0" xfId="0" applyFont="1" applyAlignment="1">
      <alignment vertical="top"/>
    </xf>
    <xf numFmtId="0" fontId="15" fillId="0" borderId="4" xfId="0" applyFont="1" applyBorder="1"/>
    <xf numFmtId="49" fontId="15" fillId="0" borderId="4" xfId="0" applyNumberFormat="1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7" fillId="0" borderId="0" xfId="0" applyFont="1"/>
    <xf numFmtId="0" fontId="18" fillId="6" borderId="4" xfId="0" applyFont="1" applyFill="1" applyBorder="1" applyAlignment="1">
      <alignment horizontal="left"/>
    </xf>
    <xf numFmtId="0" fontId="19" fillId="6" borderId="4" xfId="0" applyFont="1" applyFill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20" fillId="0" borderId="0" xfId="0" applyFont="1"/>
    <xf numFmtId="49" fontId="21" fillId="4" borderId="4" xfId="0" applyNumberFormat="1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/>
    </xf>
    <xf numFmtId="49" fontId="20" fillId="0" borderId="4" xfId="0" applyNumberFormat="1" applyFont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5" fillId="0" borderId="3" xfId="0" applyFont="1" applyBorder="1"/>
    <xf numFmtId="49" fontId="11" fillId="0" borderId="11" xfId="0" applyNumberFormat="1" applyFont="1" applyBorder="1" applyAlignment="1">
      <alignment horizontal="left" vertical="top"/>
    </xf>
    <xf numFmtId="49" fontId="11" fillId="0" borderId="12" xfId="0" applyNumberFormat="1" applyFont="1" applyBorder="1" applyAlignment="1">
      <alignment vertical="top" wrapText="1"/>
    </xf>
    <xf numFmtId="49" fontId="11" fillId="0" borderId="11" xfId="0" applyNumberFormat="1" applyFont="1" applyBorder="1" applyAlignment="1">
      <alignment horizontal="center" vertical="center" wrapText="1"/>
    </xf>
    <xf numFmtId="164" fontId="11" fillId="0" borderId="7" xfId="0" applyNumberFormat="1" applyFont="1" applyBorder="1" applyAlignment="1">
      <alignment horizontal="left" vertical="top"/>
    </xf>
    <xf numFmtId="49" fontId="11" fillId="0" borderId="12" xfId="0" applyNumberFormat="1" applyFont="1" applyBorder="1" applyAlignment="1">
      <alignment horizontal="center" vertical="top" wrapText="1"/>
    </xf>
    <xf numFmtId="164" fontId="11" fillId="0" borderId="5" xfId="0" applyNumberFormat="1" applyFont="1" applyBorder="1" applyAlignment="1">
      <alignment horizontal="center" vertical="top" wrapText="1"/>
    </xf>
    <xf numFmtId="164" fontId="11" fillId="0" borderId="8" xfId="0" applyNumberFormat="1" applyFont="1" applyBorder="1" applyAlignment="1">
      <alignment horizontal="center" vertical="top"/>
    </xf>
    <xf numFmtId="49" fontId="8" fillId="4" borderId="13" xfId="0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5" borderId="13" xfId="0" applyNumberFormat="1" applyFont="1" applyFill="1" applyBorder="1" applyAlignment="1">
      <alignment horizontal="center" vertical="center" wrapText="1"/>
    </xf>
    <xf numFmtId="49" fontId="8" fillId="5" borderId="13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 wrapText="1"/>
    </xf>
    <xf numFmtId="0" fontId="25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vertical="center" wrapText="1"/>
    </xf>
    <xf numFmtId="49" fontId="22" fillId="0" borderId="13" xfId="0" applyNumberFormat="1" applyFont="1" applyBorder="1" applyAlignment="1">
      <alignment horizontal="center" vertical="center" wrapText="1"/>
    </xf>
    <xf numFmtId="164" fontId="22" fillId="0" borderId="13" xfId="0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164" fontId="23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99CCFF"/>
          <bgColor rgb="FF99CCF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595959"/>
                </a:solidFill>
                <a:latin typeface="Roboto"/>
              </a:defRPr>
            </a:pPr>
            <a:r>
              <a:rPr sz="1200" b="0" i="0">
                <a:solidFill>
                  <a:srgbClr val="595959"/>
                </a:solidFill>
                <a:latin typeface="Roboto"/>
              </a:rPr>
              <a:t>Requirement Elaboration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DEB-4E25-AC80-FEB629B2BFB1}"/>
              </c:ext>
            </c:extLst>
          </c:dPt>
          <c:dPt>
            <c:idx val="1"/>
            <c:bubble3D val="0"/>
            <c:spPr>
              <a:solidFill>
                <a:srgbClr val="FFFF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DEB-4E25-AC80-FEB629B2BFB1}"/>
              </c:ext>
            </c:extLst>
          </c:dPt>
          <c:dPt>
            <c:idx val="2"/>
            <c:bubble3D val="0"/>
            <c:spPr>
              <a:solidFill>
                <a:srgbClr val="FFCC6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DEB-4E25-AC80-FEB629B2BFB1}"/>
              </c:ext>
            </c:extLst>
          </c:dPt>
          <c:dPt>
            <c:idx val="3"/>
            <c:bubble3D val="0"/>
            <c:spPr>
              <a:solidFill>
                <a:srgbClr val="D99694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DEB-4E25-AC80-FEB629B2BFB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Statistics!$B$10:$B$13</c:f>
              <c:strCache>
                <c:ptCount val="4"/>
                <c:pt idx="0">
                  <c:v>Completed</c:v>
                </c:pt>
                <c:pt idx="1">
                  <c:v>Cancelled</c:v>
                </c:pt>
                <c:pt idx="2">
                  <c:v>In-progress</c:v>
                </c:pt>
                <c:pt idx="3">
                  <c:v>Open</c:v>
                </c:pt>
              </c:strCache>
            </c:strRef>
          </c:cat>
          <c:val>
            <c:numRef>
              <c:f>Statistics!$C$10:$C$13</c:f>
              <c:numCache>
                <c:formatCode>General</c:formatCode>
                <c:ptCount val="4"/>
                <c:pt idx="0">
                  <c:v>24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DEB-4E25-AC80-FEB629B2B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808080"/>
                </a:solidFill>
                <a:latin typeface="Roboto"/>
              </a:defRPr>
            </a:pPr>
            <a:r>
              <a:rPr sz="1400" b="0" i="0">
                <a:solidFill>
                  <a:srgbClr val="808080"/>
                </a:solidFill>
                <a:latin typeface="Roboto"/>
              </a:rPr>
              <a:t>Requirement Conversion Progress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B0E7-48C8-AFE8-9CC2260FC8DB}"/>
              </c:ext>
            </c:extLst>
          </c:dPt>
          <c:dPt>
            <c:idx val="1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B0E7-48C8-AFE8-9CC2260FC8DB}"/>
              </c:ext>
            </c:extLst>
          </c:dPt>
          <c:dPt>
            <c:idx val="2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B0E7-48C8-AFE8-9CC2260FC8DB}"/>
              </c:ext>
            </c:extLst>
          </c:dPt>
          <c:dPt>
            <c:idx val="3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B0E7-48C8-AFE8-9CC2260FC8DB}"/>
              </c:ext>
            </c:extLst>
          </c:dPt>
          <c:dPt>
            <c:idx val="4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B0E7-48C8-AFE8-9CC2260FC8DB}"/>
              </c:ext>
            </c:extLst>
          </c:dPt>
          <c:dPt>
            <c:idx val="5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B-B0E7-48C8-AFE8-9CC2260FC8DB}"/>
              </c:ext>
            </c:extLst>
          </c:dPt>
          <c:dPt>
            <c:idx val="6"/>
            <c:invertIfNegative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D-B0E7-48C8-AFE8-9CC2260FC8DB}"/>
              </c:ext>
            </c:extLst>
          </c:dPt>
          <c:cat>
            <c:strRef>
              <c:f>Statistics!$B$2:$B$8</c:f>
              <c:strCache>
                <c:ptCount val="7"/>
                <c:pt idx="0">
                  <c:v>Requirements</c:v>
                </c:pt>
                <c:pt idx="1">
                  <c:v>Designed</c:v>
                </c:pt>
                <c:pt idx="2">
                  <c:v>Test Case Coverage</c:v>
                </c:pt>
                <c:pt idx="3">
                  <c:v>Technical Platform</c:v>
                </c:pt>
                <c:pt idx="4">
                  <c:v>Prototype Coverage</c:v>
                </c:pt>
                <c:pt idx="5">
                  <c:v>Program coverage</c:v>
                </c:pt>
                <c:pt idx="6">
                  <c:v>Test Results</c:v>
                </c:pt>
              </c:strCache>
            </c:strRef>
          </c:cat>
          <c:val>
            <c:numRef>
              <c:f>Statistics!$C$2:$C$8</c:f>
              <c:numCache>
                <c:formatCode>@</c:formatCode>
                <c:ptCount val="7"/>
                <c:pt idx="0">
                  <c:v>30</c:v>
                </c:pt>
                <c:pt idx="1">
                  <c:v>28</c:v>
                </c:pt>
                <c:pt idx="2">
                  <c:v>6</c:v>
                </c:pt>
                <c:pt idx="3">
                  <c:v>6</c:v>
                </c:pt>
                <c:pt idx="4" formatCode="General">
                  <c:v>24</c:v>
                </c:pt>
                <c:pt idx="5" formatCode="General">
                  <c:v>24</c:v>
                </c:pt>
                <c:pt idx="6" formatCode="General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B0E7-48C8-AFE8-9CC2260FC8DB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3038992"/>
        <c:axId val="1173035184"/>
      </c:barChart>
      <c:catAx>
        <c:axId val="117303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808080"/>
                </a:solidFill>
                <a:latin typeface="Roboto"/>
              </a:defRPr>
            </a:pPr>
            <a:endParaRPr lang="en-US"/>
          </a:p>
        </c:txPr>
        <c:crossAx val="1173035184"/>
        <c:crosses val="autoZero"/>
        <c:auto val="1"/>
        <c:lblAlgn val="ctr"/>
        <c:lblOffset val="100"/>
        <c:noMultiLvlLbl val="1"/>
      </c:catAx>
      <c:valAx>
        <c:axId val="1173035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808080"/>
                </a:solidFill>
                <a:latin typeface="Roboto"/>
              </a:defRPr>
            </a:pPr>
            <a:endParaRPr lang="en-US"/>
          </a:p>
        </c:txPr>
        <c:crossAx val="1173038992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123825</xdr:rowOff>
    </xdr:from>
    <xdr:ext cx="5514975" cy="3181350"/>
    <xdr:graphicFrame macro="">
      <xdr:nvGraphicFramePr>
        <xdr:cNvPr id="1379321856" name="Chart 1">
          <a:extLst>
            <a:ext uri="{FF2B5EF4-FFF2-40B4-BE49-F238E27FC236}">
              <a16:creationId xmlns:a16="http://schemas.microsoft.com/office/drawing/2014/main" xmlns="" id="{00000000-0008-0000-0200-000000C83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133350</xdr:colOff>
      <xdr:row>0</xdr:row>
      <xdr:rowOff>152400</xdr:rowOff>
    </xdr:from>
    <xdr:ext cx="5819775" cy="4448175"/>
    <xdr:graphicFrame macro="">
      <xdr:nvGraphicFramePr>
        <xdr:cNvPr id="2034305684" name="Chart 2">
          <a:extLst>
            <a:ext uri="{FF2B5EF4-FFF2-40B4-BE49-F238E27FC236}">
              <a16:creationId xmlns:a16="http://schemas.microsoft.com/office/drawing/2014/main" xmlns="" id="{00000000-0008-0000-0200-0000940A4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2.6640625" defaultRowHeight="15" customHeight="1" x14ac:dyDescent="0.25"/>
  <cols>
    <col min="1" max="1" width="2.77734375" customWidth="1"/>
    <col min="2" max="2" width="115.21875" customWidth="1"/>
    <col min="3" max="3" width="1.88671875" customWidth="1"/>
    <col min="4" max="6" width="8" customWidth="1"/>
  </cols>
  <sheetData>
    <row r="1" spans="1:6" ht="3" customHeight="1" x14ac:dyDescent="0.25"/>
    <row r="2" spans="1:6" ht="10.5" customHeight="1" x14ac:dyDescent="0.25">
      <c r="A2" s="1" t="str">
        <f>CONCATENATE(Statistics!J1)</f>
        <v>TIG/CSE/UD/RQMT_MATX_TEMPL v1.6</v>
      </c>
      <c r="B2" s="2" t="str">
        <f>A2</f>
        <v>TIG/CSE/UD/RQMT_MATX_TEMPL v1.6</v>
      </c>
      <c r="C2" s="3"/>
      <c r="D2" s="3"/>
      <c r="E2" s="3"/>
      <c r="F2" s="3"/>
    </row>
    <row r="3" spans="1:6" ht="15.75" customHeight="1" x14ac:dyDescent="0.25">
      <c r="A3" s="39" t="s">
        <v>0</v>
      </c>
      <c r="B3" s="40"/>
      <c r="C3" s="3"/>
      <c r="D3" s="3"/>
      <c r="E3" s="3"/>
      <c r="F3" s="3"/>
    </row>
    <row r="4" spans="1:6" ht="12.75" customHeight="1" x14ac:dyDescent="0.25">
      <c r="A4" s="4" t="s">
        <v>1</v>
      </c>
      <c r="B4" s="5" t="s">
        <v>2</v>
      </c>
      <c r="C4" s="3"/>
      <c r="D4" s="3"/>
      <c r="E4" s="3"/>
      <c r="F4" s="3"/>
    </row>
    <row r="5" spans="1:6" ht="12.75" customHeight="1" x14ac:dyDescent="0.25">
      <c r="A5" s="4" t="s">
        <v>3</v>
      </c>
      <c r="B5" s="5" t="s">
        <v>4</v>
      </c>
      <c r="C5" s="3"/>
      <c r="D5" s="3"/>
      <c r="E5" s="3"/>
      <c r="F5" s="3"/>
    </row>
    <row r="6" spans="1:6" ht="12.75" customHeight="1" x14ac:dyDescent="0.25">
      <c r="A6" s="4" t="s">
        <v>5</v>
      </c>
      <c r="B6" s="5" t="s">
        <v>6</v>
      </c>
      <c r="C6" s="3"/>
      <c r="D6" s="3"/>
      <c r="E6" s="3"/>
      <c r="F6" s="3"/>
    </row>
    <row r="7" spans="1:6" ht="25.5" customHeight="1" x14ac:dyDescent="0.25">
      <c r="A7" s="6"/>
      <c r="B7" s="7" t="s">
        <v>7</v>
      </c>
      <c r="C7" s="3"/>
      <c r="D7" s="3"/>
      <c r="E7" s="3"/>
      <c r="F7" s="3"/>
    </row>
    <row r="8" spans="1:6" ht="25.5" customHeight="1" x14ac:dyDescent="0.25">
      <c r="A8" s="6"/>
      <c r="B8" s="7" t="s">
        <v>8</v>
      </c>
      <c r="C8" s="3"/>
      <c r="D8" s="3"/>
      <c r="E8" s="3"/>
      <c r="F8" s="3"/>
    </row>
    <row r="9" spans="1:6" ht="127.5" customHeight="1" x14ac:dyDescent="0.25">
      <c r="A9" s="6"/>
      <c r="B9" s="7" t="s">
        <v>9</v>
      </c>
      <c r="C9" s="3"/>
      <c r="D9" s="3"/>
      <c r="E9" s="3"/>
      <c r="F9" s="3"/>
    </row>
    <row r="10" spans="1:6" ht="12.75" customHeight="1" x14ac:dyDescent="0.25">
      <c r="A10" s="6"/>
      <c r="B10" s="7" t="s">
        <v>10</v>
      </c>
      <c r="C10" s="3"/>
      <c r="D10" s="3"/>
      <c r="E10" s="3"/>
      <c r="F10" s="3"/>
    </row>
    <row r="11" spans="1:6" ht="25.5" customHeight="1" x14ac:dyDescent="0.25">
      <c r="A11" s="6"/>
      <c r="B11" s="7" t="s">
        <v>11</v>
      </c>
      <c r="C11" s="3"/>
      <c r="D11" s="3"/>
      <c r="E11" s="3"/>
      <c r="F11" s="3"/>
    </row>
    <row r="12" spans="1:6" ht="25.5" customHeight="1" x14ac:dyDescent="0.25">
      <c r="A12" s="6"/>
      <c r="B12" s="7" t="s">
        <v>12</v>
      </c>
      <c r="C12" s="3"/>
      <c r="D12" s="3"/>
      <c r="E12" s="3"/>
      <c r="F12" s="3"/>
    </row>
    <row r="13" spans="1:6" ht="25.5" customHeight="1" x14ac:dyDescent="0.25">
      <c r="A13" s="6"/>
      <c r="B13" s="7" t="s">
        <v>13</v>
      </c>
      <c r="C13" s="3"/>
      <c r="D13" s="3"/>
      <c r="E13" s="3"/>
      <c r="F13" s="3"/>
    </row>
    <row r="14" spans="1:6" ht="25.5" customHeight="1" x14ac:dyDescent="0.25">
      <c r="A14" s="6"/>
      <c r="B14" s="7" t="s">
        <v>14</v>
      </c>
      <c r="C14" s="3"/>
      <c r="D14" s="3"/>
      <c r="E14" s="3"/>
      <c r="F14" s="3"/>
    </row>
    <row r="15" spans="1:6" ht="25.5" customHeight="1" x14ac:dyDescent="0.25">
      <c r="A15" s="6"/>
      <c r="B15" s="7" t="s">
        <v>15</v>
      </c>
      <c r="C15" s="3"/>
      <c r="D15" s="3" t="s">
        <v>16</v>
      </c>
      <c r="E15" s="3"/>
      <c r="F15" s="3"/>
    </row>
    <row r="16" spans="1:6" ht="25.5" customHeight="1" x14ac:dyDescent="0.25">
      <c r="A16" s="6"/>
      <c r="B16" s="7" t="s">
        <v>17</v>
      </c>
      <c r="C16" s="3"/>
      <c r="D16" s="3"/>
      <c r="E16" s="3"/>
      <c r="F16" s="3"/>
    </row>
    <row r="17" spans="1:6" ht="12.75" customHeight="1" x14ac:dyDescent="0.25">
      <c r="A17" s="6"/>
      <c r="B17" s="7" t="s">
        <v>18</v>
      </c>
      <c r="C17" s="3"/>
      <c r="D17" s="3" t="s">
        <v>16</v>
      </c>
      <c r="E17" s="3"/>
      <c r="F17" s="3"/>
    </row>
    <row r="18" spans="1:6" ht="25.5" customHeight="1" x14ac:dyDescent="0.25">
      <c r="A18" s="4" t="s">
        <v>19</v>
      </c>
      <c r="B18" s="5" t="s">
        <v>20</v>
      </c>
      <c r="C18" s="3"/>
      <c r="D18" s="3"/>
      <c r="E18" s="3"/>
      <c r="F18" s="3"/>
    </row>
    <row r="19" spans="1:6" ht="25.5" customHeight="1" x14ac:dyDescent="0.25">
      <c r="A19" s="4" t="s">
        <v>21</v>
      </c>
      <c r="B19" s="5" t="s">
        <v>22</v>
      </c>
      <c r="C19" s="3"/>
      <c r="D19" s="3"/>
      <c r="E19" s="3"/>
      <c r="F19" s="3"/>
    </row>
    <row r="20" spans="1:6" ht="25.5" customHeight="1" x14ac:dyDescent="0.25">
      <c r="A20" s="4" t="s">
        <v>23</v>
      </c>
      <c r="B20" s="5" t="s">
        <v>24</v>
      </c>
      <c r="C20" s="3"/>
      <c r="D20" s="3"/>
      <c r="E20" s="3"/>
      <c r="F20" s="3"/>
    </row>
    <row r="21" spans="1:6" ht="12.75" customHeight="1" x14ac:dyDescent="0.25">
      <c r="A21" s="8"/>
      <c r="B21" s="3"/>
      <c r="C21" s="3"/>
      <c r="D21" s="3"/>
      <c r="E21" s="3"/>
      <c r="F21" s="3"/>
    </row>
    <row r="22" spans="1:6" ht="12.75" customHeight="1" x14ac:dyDescent="0.25">
      <c r="A22" s="8"/>
      <c r="B22" s="3"/>
      <c r="C22" s="3"/>
      <c r="D22" s="3"/>
      <c r="E22" s="3"/>
      <c r="F22" s="3"/>
    </row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3:B3"/>
  </mergeCells>
  <conditionalFormatting sqref="A2">
    <cfRule type="cellIs" dxfId="25" priority="1" operator="equal">
      <formula>"In-progress"</formula>
    </cfRule>
    <cfRule type="cellIs" dxfId="24" priority="2" operator="equal">
      <formula>"Open"</formula>
    </cfRule>
    <cfRule type="cellIs" dxfId="23" priority="3" operator="equal">
      <formula>"Completed"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3"/>
  <sheetViews>
    <sheetView tabSelected="1" zoomScale="70" zoomScaleNormal="70" workbookViewId="0">
      <selection activeCell="K7" sqref="K7"/>
    </sheetView>
  </sheetViews>
  <sheetFormatPr defaultColWidth="12.6640625" defaultRowHeight="15" customHeight="1" x14ac:dyDescent="0.25"/>
  <cols>
    <col min="1" max="1" width="13.109375" customWidth="1"/>
    <col min="2" max="2" width="50.109375" customWidth="1"/>
    <col min="3" max="3" width="12.33203125" customWidth="1"/>
    <col min="4" max="4" width="19.88671875" customWidth="1"/>
    <col min="5" max="5" width="14" customWidth="1"/>
    <col min="6" max="6" width="11" customWidth="1"/>
    <col min="7" max="7" width="25.44140625" customWidth="1"/>
    <col min="8" max="8" width="12.109375" customWidth="1"/>
    <col min="9" max="9" width="30.6640625" customWidth="1"/>
    <col min="10" max="10" width="22.109375" customWidth="1"/>
    <col min="11" max="11" width="14" customWidth="1"/>
    <col min="12" max="12" width="29.21875" customWidth="1"/>
    <col min="13" max="22" width="7.6640625" customWidth="1"/>
    <col min="23" max="27" width="15.109375" customWidth="1"/>
  </cols>
  <sheetData>
    <row r="1" spans="1:27" ht="81.599999999999994" thickBot="1" x14ac:dyDescent="0.3">
      <c r="A1" s="48" t="s">
        <v>25</v>
      </c>
      <c r="B1" s="49" t="s">
        <v>26</v>
      </c>
      <c r="C1" s="49" t="s">
        <v>27</v>
      </c>
      <c r="D1" s="50" t="s">
        <v>28</v>
      </c>
      <c r="E1" s="50" t="s">
        <v>29</v>
      </c>
      <c r="F1" s="51" t="s">
        <v>30</v>
      </c>
      <c r="G1" s="50" t="s">
        <v>31</v>
      </c>
      <c r="H1" s="50" t="s">
        <v>32</v>
      </c>
      <c r="I1" s="52" t="s">
        <v>33</v>
      </c>
      <c r="J1" s="53" t="s">
        <v>34</v>
      </c>
      <c r="K1" s="52" t="s">
        <v>35</v>
      </c>
      <c r="L1" s="48" t="s">
        <v>36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45" customHeight="1" thickBot="1" x14ac:dyDescent="0.35">
      <c r="A2" s="55" t="s">
        <v>61</v>
      </c>
      <c r="B2" s="55" t="s">
        <v>37</v>
      </c>
      <c r="C2" s="61" t="s">
        <v>38</v>
      </c>
      <c r="D2" s="56" t="s">
        <v>79</v>
      </c>
      <c r="E2" s="57" t="s">
        <v>62</v>
      </c>
      <c r="F2" s="56" t="s">
        <v>40</v>
      </c>
      <c r="G2" s="56" t="s">
        <v>63</v>
      </c>
      <c r="H2" s="56" t="s">
        <v>41</v>
      </c>
      <c r="I2" s="56" t="s">
        <v>64</v>
      </c>
      <c r="J2" s="54" t="s">
        <v>42</v>
      </c>
      <c r="K2" s="56" t="s">
        <v>65</v>
      </c>
      <c r="L2" s="56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27" customHeight="1" thickBot="1" x14ac:dyDescent="0.35">
      <c r="A3" s="55" t="s">
        <v>66</v>
      </c>
      <c r="B3" s="58" t="s">
        <v>67</v>
      </c>
      <c r="C3" s="61" t="s">
        <v>38</v>
      </c>
      <c r="D3" s="56" t="s">
        <v>79</v>
      </c>
      <c r="E3" s="57" t="s">
        <v>68</v>
      </c>
      <c r="F3" s="56"/>
      <c r="G3" s="56"/>
      <c r="H3" s="56" t="s">
        <v>41</v>
      </c>
      <c r="I3" s="56" t="s">
        <v>69</v>
      </c>
      <c r="J3" s="54" t="s">
        <v>42</v>
      </c>
      <c r="K3" s="56"/>
      <c r="L3" s="56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21.75" customHeight="1" thickBot="1" x14ac:dyDescent="0.35">
      <c r="A4" s="55" t="s">
        <v>70</v>
      </c>
      <c r="B4" s="58" t="s">
        <v>71</v>
      </c>
      <c r="C4" s="61" t="s">
        <v>38</v>
      </c>
      <c r="D4" s="56" t="s">
        <v>79</v>
      </c>
      <c r="E4" s="57" t="s">
        <v>72</v>
      </c>
      <c r="F4" s="56"/>
      <c r="G4" s="56"/>
      <c r="H4" s="56" t="s">
        <v>41</v>
      </c>
      <c r="I4" s="56" t="s">
        <v>73</v>
      </c>
      <c r="J4" s="54" t="s">
        <v>42</v>
      </c>
      <c r="K4" s="56"/>
      <c r="L4" s="56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9.5" customHeight="1" thickBot="1" x14ac:dyDescent="0.35">
      <c r="A5" s="55" t="s">
        <v>74</v>
      </c>
      <c r="B5" s="58" t="s">
        <v>75</v>
      </c>
      <c r="C5" s="61" t="s">
        <v>38</v>
      </c>
      <c r="D5" s="56" t="s">
        <v>76</v>
      </c>
      <c r="E5" s="57" t="s">
        <v>77</v>
      </c>
      <c r="F5" s="56"/>
      <c r="G5" s="56"/>
      <c r="H5" s="56" t="s">
        <v>41</v>
      </c>
      <c r="I5" s="56" t="s">
        <v>78</v>
      </c>
      <c r="J5" s="54" t="s">
        <v>42</v>
      </c>
      <c r="K5" s="56"/>
      <c r="L5" s="56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29.4" customHeight="1" thickBot="1" x14ac:dyDescent="0.35">
      <c r="A6" s="55" t="s">
        <v>80</v>
      </c>
      <c r="B6" s="58" t="s">
        <v>81</v>
      </c>
      <c r="C6" s="61" t="s">
        <v>38</v>
      </c>
      <c r="D6" s="56" t="s">
        <v>196</v>
      </c>
      <c r="E6" s="57" t="s">
        <v>82</v>
      </c>
      <c r="F6" s="56"/>
      <c r="G6" s="56"/>
      <c r="H6" s="56" t="s">
        <v>41</v>
      </c>
      <c r="I6" s="56" t="s">
        <v>83</v>
      </c>
      <c r="J6" s="54" t="s">
        <v>42</v>
      </c>
      <c r="K6" s="56"/>
      <c r="L6" s="56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22.8" customHeight="1" thickBot="1" x14ac:dyDescent="0.35">
      <c r="A7" s="55" t="s">
        <v>84</v>
      </c>
      <c r="B7" s="55" t="s">
        <v>85</v>
      </c>
      <c r="C7" s="61" t="s">
        <v>38</v>
      </c>
      <c r="D7" s="56" t="s">
        <v>198</v>
      </c>
      <c r="E7" s="57" t="s">
        <v>87</v>
      </c>
      <c r="F7" s="56" t="s">
        <v>44</v>
      </c>
      <c r="G7" s="56" t="s">
        <v>63</v>
      </c>
      <c r="H7" s="56" t="s">
        <v>41</v>
      </c>
      <c r="I7" s="56" t="s">
        <v>88</v>
      </c>
      <c r="J7" s="54" t="s">
        <v>42</v>
      </c>
      <c r="K7" s="56" t="s">
        <v>89</v>
      </c>
      <c r="L7" s="56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6.2" thickBot="1" x14ac:dyDescent="0.35">
      <c r="A8" s="55" t="s">
        <v>90</v>
      </c>
      <c r="B8" s="58" t="s">
        <v>91</v>
      </c>
      <c r="C8" s="61" t="s">
        <v>38</v>
      </c>
      <c r="D8" s="56" t="s">
        <v>196</v>
      </c>
      <c r="E8" s="57" t="s">
        <v>92</v>
      </c>
      <c r="F8" s="56"/>
      <c r="G8" s="56"/>
      <c r="H8" s="56" t="s">
        <v>41</v>
      </c>
      <c r="I8" s="56" t="s">
        <v>93</v>
      </c>
      <c r="J8" s="54" t="s">
        <v>42</v>
      </c>
      <c r="K8" s="56"/>
      <c r="L8" s="56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6.2" thickBot="1" x14ac:dyDescent="0.35">
      <c r="A9" s="55" t="s">
        <v>94</v>
      </c>
      <c r="B9" s="58" t="s">
        <v>95</v>
      </c>
      <c r="C9" s="61" t="s">
        <v>38</v>
      </c>
      <c r="D9" s="56" t="s">
        <v>86</v>
      </c>
      <c r="E9" s="57" t="s">
        <v>96</v>
      </c>
      <c r="F9" s="56"/>
      <c r="G9" s="56"/>
      <c r="H9" s="56" t="s">
        <v>41</v>
      </c>
      <c r="I9" s="56" t="s">
        <v>97</v>
      </c>
      <c r="J9" s="54" t="s">
        <v>42</v>
      </c>
      <c r="K9" s="56"/>
      <c r="L9" s="56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6.2" thickBot="1" x14ac:dyDescent="0.35">
      <c r="A10" s="55" t="s">
        <v>98</v>
      </c>
      <c r="B10" s="58" t="s">
        <v>99</v>
      </c>
      <c r="C10" s="61" t="s">
        <v>38</v>
      </c>
      <c r="D10" s="56" t="s">
        <v>86</v>
      </c>
      <c r="E10" s="57" t="s">
        <v>100</v>
      </c>
      <c r="F10" s="56"/>
      <c r="G10" s="56"/>
      <c r="H10" s="56" t="s">
        <v>41</v>
      </c>
      <c r="I10" s="56" t="s">
        <v>101</v>
      </c>
      <c r="J10" s="54" t="s">
        <v>42</v>
      </c>
      <c r="K10" s="56"/>
      <c r="L10" s="56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6.2" thickBot="1" x14ac:dyDescent="0.35">
      <c r="A11" s="55" t="s">
        <v>102</v>
      </c>
      <c r="B11" s="55" t="s">
        <v>103</v>
      </c>
      <c r="C11" s="61" t="s">
        <v>38</v>
      </c>
      <c r="D11" s="56" t="s">
        <v>104</v>
      </c>
      <c r="E11" s="57" t="s">
        <v>105</v>
      </c>
      <c r="F11" s="56" t="s">
        <v>46</v>
      </c>
      <c r="G11" s="56" t="s">
        <v>106</v>
      </c>
      <c r="H11" s="56" t="s">
        <v>41</v>
      </c>
      <c r="I11" s="56" t="s">
        <v>107</v>
      </c>
      <c r="J11" s="54" t="s">
        <v>42</v>
      </c>
      <c r="K11" s="56" t="s">
        <v>108</v>
      </c>
      <c r="L11" s="56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6.2" thickBot="1" x14ac:dyDescent="0.35">
      <c r="A12" s="55" t="s">
        <v>109</v>
      </c>
      <c r="B12" s="58" t="s">
        <v>110</v>
      </c>
      <c r="C12" s="61" t="s">
        <v>38</v>
      </c>
      <c r="D12" s="56" t="s">
        <v>104</v>
      </c>
      <c r="E12" s="57" t="s">
        <v>111</v>
      </c>
      <c r="F12" s="56"/>
      <c r="G12" s="56"/>
      <c r="H12" s="56" t="s">
        <v>41</v>
      </c>
      <c r="I12" s="56" t="s">
        <v>112</v>
      </c>
      <c r="J12" s="54" t="s">
        <v>42</v>
      </c>
      <c r="K12" s="56"/>
      <c r="L12" s="56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6.2" thickBot="1" x14ac:dyDescent="0.35">
      <c r="A13" s="55" t="s">
        <v>113</v>
      </c>
      <c r="B13" s="58" t="s">
        <v>114</v>
      </c>
      <c r="C13" s="61" t="s">
        <v>38</v>
      </c>
      <c r="D13" s="56" t="s">
        <v>104</v>
      </c>
      <c r="E13" s="57" t="s">
        <v>115</v>
      </c>
      <c r="F13" s="56"/>
      <c r="G13" s="56"/>
      <c r="H13" s="56" t="s">
        <v>41</v>
      </c>
      <c r="I13" s="56" t="s">
        <v>116</v>
      </c>
      <c r="J13" s="54" t="s">
        <v>42</v>
      </c>
      <c r="K13" s="56"/>
      <c r="L13" s="56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6.2" thickBot="1" x14ac:dyDescent="0.35">
      <c r="A14" s="55" t="s">
        <v>117</v>
      </c>
      <c r="B14" s="58" t="s">
        <v>118</v>
      </c>
      <c r="C14" s="61" t="s">
        <v>38</v>
      </c>
      <c r="D14" s="56" t="s">
        <v>104</v>
      </c>
      <c r="E14" s="57" t="s">
        <v>119</v>
      </c>
      <c r="F14" s="56"/>
      <c r="G14" s="56"/>
      <c r="H14" s="56" t="s">
        <v>41</v>
      </c>
      <c r="I14" s="56" t="s">
        <v>120</v>
      </c>
      <c r="J14" s="54" t="s">
        <v>42</v>
      </c>
      <c r="K14" s="56"/>
      <c r="L14" s="56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6.2" thickBot="1" x14ac:dyDescent="0.35">
      <c r="A15" s="55" t="s">
        <v>121</v>
      </c>
      <c r="B15" s="55" t="s">
        <v>122</v>
      </c>
      <c r="C15" s="61" t="s">
        <v>38</v>
      </c>
      <c r="D15" s="56" t="s">
        <v>123</v>
      </c>
      <c r="E15" s="57" t="s">
        <v>124</v>
      </c>
      <c r="F15" s="56" t="s">
        <v>47</v>
      </c>
      <c r="G15" s="56" t="s">
        <v>106</v>
      </c>
      <c r="H15" s="56" t="s">
        <v>41</v>
      </c>
      <c r="I15" s="56" t="s">
        <v>125</v>
      </c>
      <c r="J15" s="54" t="s">
        <v>42</v>
      </c>
      <c r="K15" s="56" t="s">
        <v>108</v>
      </c>
      <c r="L15" s="5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9.5" customHeight="1" thickBot="1" x14ac:dyDescent="0.35">
      <c r="A16" s="55" t="s">
        <v>126</v>
      </c>
      <c r="B16" s="58" t="s">
        <v>127</v>
      </c>
      <c r="C16" s="61" t="s">
        <v>38</v>
      </c>
      <c r="D16" s="56" t="s">
        <v>123</v>
      </c>
      <c r="E16" s="57" t="s">
        <v>128</v>
      </c>
      <c r="F16" s="56"/>
      <c r="G16" s="56"/>
      <c r="H16" s="56" t="s">
        <v>41</v>
      </c>
      <c r="I16" s="56" t="s">
        <v>129</v>
      </c>
      <c r="J16" s="54" t="s">
        <v>42</v>
      </c>
      <c r="K16" s="56"/>
      <c r="L16" s="5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8" customHeight="1" thickBot="1" x14ac:dyDescent="0.35">
      <c r="A17" s="55" t="s">
        <v>130</v>
      </c>
      <c r="B17" s="58" t="s">
        <v>131</v>
      </c>
      <c r="C17" s="61" t="s">
        <v>38</v>
      </c>
      <c r="D17" s="56" t="s">
        <v>123</v>
      </c>
      <c r="E17" s="57" t="s">
        <v>132</v>
      </c>
      <c r="F17" s="56"/>
      <c r="G17" s="56"/>
      <c r="H17" s="56" t="s">
        <v>41</v>
      </c>
      <c r="I17" s="56" t="s">
        <v>133</v>
      </c>
      <c r="J17" s="54" t="s">
        <v>42</v>
      </c>
      <c r="K17" s="56"/>
      <c r="L17" s="56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7.25" customHeight="1" thickBot="1" x14ac:dyDescent="0.35">
      <c r="A18" s="55" t="s">
        <v>134</v>
      </c>
      <c r="B18" s="58" t="s">
        <v>135</v>
      </c>
      <c r="C18" s="61" t="s">
        <v>38</v>
      </c>
      <c r="D18" s="56" t="s">
        <v>197</v>
      </c>
      <c r="E18" s="57" t="s">
        <v>136</v>
      </c>
      <c r="F18" s="56"/>
      <c r="G18" s="56"/>
      <c r="H18" s="56" t="s">
        <v>41</v>
      </c>
      <c r="I18" s="56" t="s">
        <v>137</v>
      </c>
      <c r="J18" s="54" t="s">
        <v>42</v>
      </c>
      <c r="K18" s="56"/>
      <c r="L18" s="56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6.5" customHeight="1" thickBot="1" x14ac:dyDescent="0.35">
      <c r="A19" s="55" t="s">
        <v>138</v>
      </c>
      <c r="B19" s="55" t="s">
        <v>139</v>
      </c>
      <c r="C19" s="61" t="s">
        <v>38</v>
      </c>
      <c r="D19" s="56" t="s">
        <v>140</v>
      </c>
      <c r="E19" s="57" t="s">
        <v>141</v>
      </c>
      <c r="F19" s="56" t="s">
        <v>48</v>
      </c>
      <c r="G19" s="56" t="s">
        <v>63</v>
      </c>
      <c r="H19" s="56" t="s">
        <v>41</v>
      </c>
      <c r="I19" s="56" t="s">
        <v>142</v>
      </c>
      <c r="J19" s="54" t="s">
        <v>42</v>
      </c>
      <c r="K19" s="56" t="s">
        <v>143</v>
      </c>
      <c r="L19" s="56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35.25" customHeight="1" thickBot="1" x14ac:dyDescent="0.35">
      <c r="A20" s="55" t="s">
        <v>144</v>
      </c>
      <c r="B20" s="58" t="s">
        <v>145</v>
      </c>
      <c r="C20" s="61" t="s">
        <v>38</v>
      </c>
      <c r="D20" s="56" t="s">
        <v>140</v>
      </c>
      <c r="E20" s="57" t="s">
        <v>146</v>
      </c>
      <c r="F20" s="56"/>
      <c r="G20" s="56"/>
      <c r="H20" s="56" t="s">
        <v>41</v>
      </c>
      <c r="I20" s="56" t="s">
        <v>147</v>
      </c>
      <c r="J20" s="54" t="s">
        <v>42</v>
      </c>
      <c r="K20" s="56"/>
      <c r="L20" s="56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1.75" customHeight="1" thickBot="1" x14ac:dyDescent="0.35">
      <c r="A21" s="55" t="s">
        <v>148</v>
      </c>
      <c r="B21" s="58" t="s">
        <v>149</v>
      </c>
      <c r="C21" s="61" t="s">
        <v>38</v>
      </c>
      <c r="D21" s="56" t="s">
        <v>140</v>
      </c>
      <c r="E21" s="57" t="s">
        <v>150</v>
      </c>
      <c r="F21" s="56"/>
      <c r="G21" s="56"/>
      <c r="H21" s="56" t="s">
        <v>41</v>
      </c>
      <c r="I21" s="56" t="s">
        <v>151</v>
      </c>
      <c r="J21" s="54" t="s">
        <v>42</v>
      </c>
      <c r="K21" s="56"/>
      <c r="L21" s="56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8.75" customHeight="1" thickBot="1" x14ac:dyDescent="0.35">
      <c r="A22" s="55" t="s">
        <v>152</v>
      </c>
      <c r="B22" s="58" t="s">
        <v>153</v>
      </c>
      <c r="C22" s="61" t="s">
        <v>38</v>
      </c>
      <c r="D22" s="56" t="s">
        <v>140</v>
      </c>
      <c r="E22" s="57" t="s">
        <v>154</v>
      </c>
      <c r="F22" s="56"/>
      <c r="G22" s="56"/>
      <c r="H22" s="56" t="s">
        <v>41</v>
      </c>
      <c r="I22" s="56" t="s">
        <v>155</v>
      </c>
      <c r="J22" s="54" t="s">
        <v>42</v>
      </c>
      <c r="K22" s="56"/>
      <c r="L22" s="5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2.5" customHeight="1" thickBot="1" x14ac:dyDescent="0.35">
      <c r="A23" s="55" t="s">
        <v>156</v>
      </c>
      <c r="B23" s="55" t="s">
        <v>157</v>
      </c>
      <c r="C23" s="61" t="s">
        <v>38</v>
      </c>
      <c r="D23" s="56" t="s">
        <v>158</v>
      </c>
      <c r="E23" s="57" t="s">
        <v>159</v>
      </c>
      <c r="F23" s="56" t="s">
        <v>49</v>
      </c>
      <c r="G23" s="56" t="s">
        <v>160</v>
      </c>
      <c r="H23" s="56" t="s">
        <v>41</v>
      </c>
      <c r="I23" s="56" t="s">
        <v>161</v>
      </c>
      <c r="J23" s="54" t="s">
        <v>42</v>
      </c>
      <c r="K23" s="56" t="s">
        <v>162</v>
      </c>
      <c r="L23" s="5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1" customHeight="1" thickBot="1" x14ac:dyDescent="0.35">
      <c r="A24" s="55" t="s">
        <v>163</v>
      </c>
      <c r="B24" s="58" t="s">
        <v>164</v>
      </c>
      <c r="C24" s="61" t="s">
        <v>38</v>
      </c>
      <c r="D24" s="56" t="s">
        <v>158</v>
      </c>
      <c r="E24" s="57" t="s">
        <v>165</v>
      </c>
      <c r="F24" s="56"/>
      <c r="G24" s="56"/>
      <c r="H24" s="56" t="s">
        <v>41</v>
      </c>
      <c r="I24" s="56" t="s">
        <v>166</v>
      </c>
      <c r="J24" s="54" t="s">
        <v>42</v>
      </c>
      <c r="K24" s="56"/>
      <c r="L24" s="5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33" customHeight="1" thickBot="1" x14ac:dyDescent="0.35">
      <c r="A25" s="55" t="s">
        <v>167</v>
      </c>
      <c r="B25" s="58" t="s">
        <v>168</v>
      </c>
      <c r="C25" s="61" t="s">
        <v>38</v>
      </c>
      <c r="D25" s="56" t="s">
        <v>158</v>
      </c>
      <c r="E25" s="57" t="s">
        <v>169</v>
      </c>
      <c r="F25" s="56"/>
      <c r="G25" s="56"/>
      <c r="H25" s="56" t="s">
        <v>41</v>
      </c>
      <c r="I25" s="56" t="s">
        <v>170</v>
      </c>
      <c r="J25" s="54" t="s">
        <v>42</v>
      </c>
      <c r="K25" s="56"/>
      <c r="L25" s="5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1.75" customHeight="1" thickBot="1" x14ac:dyDescent="0.35">
      <c r="A26" s="55" t="s">
        <v>173</v>
      </c>
      <c r="B26" s="55" t="s">
        <v>171</v>
      </c>
      <c r="C26" s="59" t="s">
        <v>45</v>
      </c>
      <c r="D26" s="56" t="s">
        <v>172</v>
      </c>
      <c r="E26" s="57">
        <v>8.1</v>
      </c>
      <c r="F26" s="56"/>
      <c r="G26" s="56"/>
      <c r="H26" s="56" t="s">
        <v>174</v>
      </c>
      <c r="I26" s="56"/>
      <c r="J26" s="62"/>
      <c r="K26" s="60"/>
      <c r="L26" s="56" t="s">
        <v>175</v>
      </c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2.5" customHeight="1" thickBot="1" x14ac:dyDescent="0.35">
      <c r="A27" s="55" t="s">
        <v>176</v>
      </c>
      <c r="B27" s="58" t="s">
        <v>177</v>
      </c>
      <c r="C27" s="59" t="s">
        <v>45</v>
      </c>
      <c r="D27" s="56" t="s">
        <v>172</v>
      </c>
      <c r="E27" s="57" t="s">
        <v>178</v>
      </c>
      <c r="F27" s="56"/>
      <c r="G27" s="56"/>
      <c r="H27" s="56" t="s">
        <v>174</v>
      </c>
      <c r="I27" s="56"/>
      <c r="J27" s="62"/>
      <c r="K27" s="60"/>
      <c r="L27" s="56" t="s">
        <v>179</v>
      </c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2.5" customHeight="1" thickBot="1" x14ac:dyDescent="0.35">
      <c r="A28" s="55" t="s">
        <v>180</v>
      </c>
      <c r="B28" s="58" t="s">
        <v>181</v>
      </c>
      <c r="C28" s="59" t="s">
        <v>45</v>
      </c>
      <c r="D28" s="56" t="s">
        <v>182</v>
      </c>
      <c r="E28" s="57" t="s">
        <v>183</v>
      </c>
      <c r="F28" s="56"/>
      <c r="G28" s="56"/>
      <c r="H28" s="56" t="s">
        <v>174</v>
      </c>
      <c r="I28" s="59"/>
      <c r="J28" s="62"/>
      <c r="K28" s="60"/>
      <c r="L28" s="56" t="s">
        <v>184</v>
      </c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9.5" customHeight="1" thickBot="1" x14ac:dyDescent="0.35">
      <c r="A29" s="55" t="s">
        <v>185</v>
      </c>
      <c r="B29" s="55" t="s">
        <v>186</v>
      </c>
      <c r="C29" s="59" t="s">
        <v>45</v>
      </c>
      <c r="D29" s="56" t="s">
        <v>187</v>
      </c>
      <c r="E29" s="57">
        <v>8.1999999999999993</v>
      </c>
      <c r="F29" s="56"/>
      <c r="G29" s="56"/>
      <c r="H29" s="56" t="s">
        <v>174</v>
      </c>
      <c r="I29" s="60"/>
      <c r="J29" s="62"/>
      <c r="K29" s="60"/>
      <c r="L29" s="56" t="s">
        <v>188</v>
      </c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8.75" customHeight="1" thickBot="1" x14ac:dyDescent="0.35">
      <c r="A30" s="55" t="s">
        <v>189</v>
      </c>
      <c r="B30" s="58" t="s">
        <v>190</v>
      </c>
      <c r="C30" s="59" t="s">
        <v>45</v>
      </c>
      <c r="D30" s="56" t="s">
        <v>187</v>
      </c>
      <c r="E30" s="57" t="s">
        <v>39</v>
      </c>
      <c r="F30" s="56"/>
      <c r="G30" s="56"/>
      <c r="H30" s="56" t="s">
        <v>174</v>
      </c>
      <c r="I30" s="60"/>
      <c r="J30" s="62"/>
      <c r="K30" s="60"/>
      <c r="L30" s="56" t="s">
        <v>191</v>
      </c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2.2" customHeight="1" thickBot="1" x14ac:dyDescent="0.35">
      <c r="A31" s="55" t="s">
        <v>192</v>
      </c>
      <c r="B31" s="58" t="s">
        <v>193</v>
      </c>
      <c r="C31" s="59" t="s">
        <v>45</v>
      </c>
      <c r="D31" s="56" t="s">
        <v>194</v>
      </c>
      <c r="E31" s="57" t="s">
        <v>43</v>
      </c>
      <c r="F31" s="56"/>
      <c r="G31" s="56"/>
      <c r="H31" s="56" t="s">
        <v>174</v>
      </c>
      <c r="I31" s="60"/>
      <c r="J31" s="62"/>
      <c r="K31" s="60"/>
      <c r="L31" s="56" t="s">
        <v>195</v>
      </c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1.25" customHeight="1" x14ac:dyDescent="0.3">
      <c r="A32" s="41"/>
      <c r="B32" s="42"/>
      <c r="C32" s="12"/>
      <c r="D32" s="43"/>
      <c r="E32" s="42"/>
      <c r="F32" s="44"/>
      <c r="G32" s="45"/>
      <c r="H32" s="12"/>
      <c r="I32" s="46"/>
      <c r="J32" s="14"/>
      <c r="K32" s="15"/>
      <c r="L32" s="47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1.25" customHeight="1" x14ac:dyDescent="0.3">
      <c r="A33" s="21"/>
      <c r="B33" s="22"/>
      <c r="C33" s="12"/>
      <c r="D33" s="16"/>
      <c r="E33" s="22"/>
      <c r="F33" s="17"/>
      <c r="G33" s="13"/>
      <c r="H33" s="18"/>
      <c r="I33" s="19"/>
      <c r="J33" s="14"/>
      <c r="K33" s="15"/>
      <c r="L33" s="20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1.25" customHeight="1" x14ac:dyDescent="0.3">
      <c r="A34" s="21"/>
      <c r="B34" s="22"/>
      <c r="C34" s="12"/>
      <c r="D34" s="16"/>
      <c r="E34" s="22"/>
      <c r="F34" s="17"/>
      <c r="G34" s="13"/>
      <c r="H34" s="18"/>
      <c r="I34" s="19"/>
      <c r="J34" s="14"/>
      <c r="K34" s="15"/>
      <c r="L34" s="20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1.25" customHeight="1" x14ac:dyDescent="0.3">
      <c r="A35" s="21"/>
      <c r="B35" s="22"/>
      <c r="C35" s="12"/>
      <c r="D35" s="16"/>
      <c r="E35" s="22"/>
      <c r="F35" s="17"/>
      <c r="G35" s="13"/>
      <c r="H35" s="18"/>
      <c r="I35" s="19"/>
      <c r="J35" s="14"/>
      <c r="K35" s="15"/>
      <c r="L35" s="20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1.25" customHeight="1" x14ac:dyDescent="0.3">
      <c r="A36" s="21"/>
      <c r="B36" s="22"/>
      <c r="C36" s="12"/>
      <c r="D36" s="16"/>
      <c r="E36" s="22"/>
      <c r="F36" s="17"/>
      <c r="G36" s="13"/>
      <c r="H36" s="18"/>
      <c r="I36" s="19"/>
      <c r="J36" s="14"/>
      <c r="K36" s="15"/>
      <c r="L36" s="20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1.25" customHeight="1" x14ac:dyDescent="0.3">
      <c r="A37" s="21"/>
      <c r="B37" s="22"/>
      <c r="C37" s="12"/>
      <c r="D37" s="16"/>
      <c r="E37" s="22"/>
      <c r="F37" s="17"/>
      <c r="G37" s="13"/>
      <c r="H37" s="18"/>
      <c r="I37" s="19"/>
      <c r="J37" s="14"/>
      <c r="K37" s="15"/>
      <c r="L37" s="20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1.25" customHeight="1" x14ac:dyDescent="0.3">
      <c r="A38" s="21"/>
      <c r="B38" s="22"/>
      <c r="C38" s="12"/>
      <c r="D38" s="16"/>
      <c r="E38" s="22"/>
      <c r="F38" s="17"/>
      <c r="G38" s="13"/>
      <c r="H38" s="18"/>
      <c r="I38" s="19"/>
      <c r="J38" s="14"/>
      <c r="K38" s="15"/>
      <c r="L38" s="20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1.25" customHeight="1" x14ac:dyDescent="0.3">
      <c r="A39" s="21"/>
      <c r="B39" s="22"/>
      <c r="C39" s="12"/>
      <c r="D39" s="16"/>
      <c r="E39" s="22"/>
      <c r="F39" s="17"/>
      <c r="G39" s="13"/>
      <c r="H39" s="18"/>
      <c r="I39" s="19"/>
      <c r="J39" s="14"/>
      <c r="K39" s="15"/>
      <c r="L39" s="20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1.25" customHeight="1" x14ac:dyDescent="0.3">
      <c r="A40" s="21"/>
      <c r="B40" s="22"/>
      <c r="C40" s="12"/>
      <c r="D40" s="16"/>
      <c r="E40" s="22"/>
      <c r="F40" s="17"/>
      <c r="G40" s="13"/>
      <c r="H40" s="18"/>
      <c r="I40" s="19"/>
      <c r="J40" s="14"/>
      <c r="K40" s="15"/>
      <c r="L40" s="20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1.25" customHeight="1" x14ac:dyDescent="0.3">
      <c r="A41" s="21"/>
      <c r="B41" s="22"/>
      <c r="C41" s="12"/>
      <c r="D41" s="16"/>
      <c r="E41" s="22"/>
      <c r="F41" s="17"/>
      <c r="G41" s="13"/>
      <c r="H41" s="18"/>
      <c r="I41" s="19"/>
      <c r="J41" s="14"/>
      <c r="K41" s="15"/>
      <c r="L41" s="20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1.25" customHeight="1" x14ac:dyDescent="0.3">
      <c r="A42" s="21"/>
      <c r="B42" s="22"/>
      <c r="C42" s="12"/>
      <c r="D42" s="16"/>
      <c r="E42" s="22"/>
      <c r="F42" s="17"/>
      <c r="G42" s="13"/>
      <c r="H42" s="18"/>
      <c r="I42" s="19"/>
      <c r="J42" s="14"/>
      <c r="K42" s="15"/>
      <c r="L42" s="20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1.25" customHeight="1" x14ac:dyDescent="0.3">
      <c r="A43" s="21"/>
      <c r="B43" s="22"/>
      <c r="C43" s="12"/>
      <c r="D43" s="16"/>
      <c r="E43" s="22"/>
      <c r="F43" s="17"/>
      <c r="G43" s="13"/>
      <c r="H43" s="18"/>
      <c r="I43" s="19"/>
      <c r="J43" s="14"/>
      <c r="K43" s="15"/>
      <c r="L43" s="20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1.25" customHeight="1" x14ac:dyDescent="0.3">
      <c r="A44" s="21"/>
      <c r="B44" s="22"/>
      <c r="C44" s="12"/>
      <c r="D44" s="16"/>
      <c r="E44" s="22"/>
      <c r="F44" s="17"/>
      <c r="G44" s="13"/>
      <c r="H44" s="18"/>
      <c r="I44" s="19"/>
      <c r="J44" s="14"/>
      <c r="K44" s="15"/>
      <c r="L44" s="20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1.25" customHeight="1" x14ac:dyDescent="0.3">
      <c r="A45" s="21"/>
      <c r="B45" s="22"/>
      <c r="C45" s="12"/>
      <c r="D45" s="16"/>
      <c r="E45" s="22"/>
      <c r="F45" s="17"/>
      <c r="G45" s="13"/>
      <c r="H45" s="18"/>
      <c r="I45" s="19"/>
      <c r="J45" s="14"/>
      <c r="K45" s="15"/>
      <c r="L45" s="20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1.25" customHeight="1" x14ac:dyDescent="0.3">
      <c r="A46" s="21"/>
      <c r="B46" s="22"/>
      <c r="C46" s="12"/>
      <c r="D46" s="16"/>
      <c r="E46" s="22"/>
      <c r="F46" s="17"/>
      <c r="G46" s="13"/>
      <c r="H46" s="18"/>
      <c r="I46" s="19"/>
      <c r="J46" s="14"/>
      <c r="K46" s="15"/>
      <c r="L46" s="20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1.25" customHeight="1" x14ac:dyDescent="0.3">
      <c r="A47" s="21"/>
      <c r="B47" s="22"/>
      <c r="C47" s="12"/>
      <c r="D47" s="16"/>
      <c r="E47" s="22"/>
      <c r="F47" s="17"/>
      <c r="G47" s="13"/>
      <c r="H47" s="18"/>
      <c r="I47" s="19"/>
      <c r="J47" s="14"/>
      <c r="K47" s="15"/>
      <c r="L47" s="20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1.25" customHeight="1" x14ac:dyDescent="0.3">
      <c r="A48" s="21"/>
      <c r="B48" s="22"/>
      <c r="C48" s="12"/>
      <c r="D48" s="16"/>
      <c r="E48" s="22"/>
      <c r="F48" s="17"/>
      <c r="G48" s="13"/>
      <c r="H48" s="18"/>
      <c r="I48" s="19"/>
      <c r="J48" s="14"/>
      <c r="K48" s="15"/>
      <c r="L48" s="20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1.25" customHeight="1" x14ac:dyDescent="0.3">
      <c r="A49" s="21"/>
      <c r="B49" s="22"/>
      <c r="C49" s="12"/>
      <c r="D49" s="16"/>
      <c r="E49" s="22"/>
      <c r="F49" s="17"/>
      <c r="G49" s="13"/>
      <c r="H49" s="18"/>
      <c r="I49" s="19"/>
      <c r="J49" s="14"/>
      <c r="K49" s="15"/>
      <c r="L49" s="20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1.25" customHeight="1" x14ac:dyDescent="0.3">
      <c r="A50" s="21"/>
      <c r="B50" s="22"/>
      <c r="C50" s="12"/>
      <c r="D50" s="16"/>
      <c r="E50" s="22"/>
      <c r="F50" s="17"/>
      <c r="G50" s="13"/>
      <c r="H50" s="18"/>
      <c r="I50" s="19"/>
      <c r="J50" s="14"/>
      <c r="K50" s="15"/>
      <c r="L50" s="20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1.25" customHeight="1" x14ac:dyDescent="0.3">
      <c r="A51" s="21"/>
      <c r="B51" s="22"/>
      <c r="C51" s="12"/>
      <c r="D51" s="16"/>
      <c r="E51" s="22"/>
      <c r="F51" s="17"/>
      <c r="G51" s="13"/>
      <c r="H51" s="18"/>
      <c r="I51" s="19"/>
      <c r="J51" s="14"/>
      <c r="K51" s="15"/>
      <c r="L51" s="20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1.25" customHeight="1" x14ac:dyDescent="0.3">
      <c r="A52" s="21"/>
      <c r="B52" s="22"/>
      <c r="C52" s="12"/>
      <c r="D52" s="16"/>
      <c r="E52" s="22"/>
      <c r="F52" s="17"/>
      <c r="G52" s="13"/>
      <c r="H52" s="18"/>
      <c r="I52" s="19"/>
      <c r="J52" s="14"/>
      <c r="K52" s="15"/>
      <c r="L52" s="20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1.25" customHeight="1" x14ac:dyDescent="0.3">
      <c r="A53" s="21"/>
      <c r="B53" s="22"/>
      <c r="C53" s="12"/>
      <c r="D53" s="16"/>
      <c r="E53" s="22"/>
      <c r="F53" s="17"/>
      <c r="G53" s="13"/>
      <c r="H53" s="18"/>
      <c r="I53" s="19"/>
      <c r="J53" s="14"/>
      <c r="K53" s="15"/>
      <c r="L53" s="20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1.25" customHeight="1" x14ac:dyDescent="0.3">
      <c r="A54" s="21"/>
      <c r="B54" s="22"/>
      <c r="C54" s="12"/>
      <c r="D54" s="16"/>
      <c r="E54" s="22"/>
      <c r="F54" s="17"/>
      <c r="G54" s="13"/>
      <c r="H54" s="18"/>
      <c r="I54" s="19"/>
      <c r="J54" s="14"/>
      <c r="K54" s="15"/>
      <c r="L54" s="20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1.25" customHeight="1" x14ac:dyDescent="0.3">
      <c r="A55" s="21"/>
      <c r="B55" s="22"/>
      <c r="C55" s="12"/>
      <c r="D55" s="16"/>
      <c r="E55" s="22"/>
      <c r="F55" s="17"/>
      <c r="G55" s="13"/>
      <c r="H55" s="18"/>
      <c r="I55" s="19"/>
      <c r="J55" s="14"/>
      <c r="K55" s="15"/>
      <c r="L55" s="20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1.25" customHeight="1" x14ac:dyDescent="0.3">
      <c r="A56" s="21"/>
      <c r="B56" s="22"/>
      <c r="C56" s="12"/>
      <c r="D56" s="16"/>
      <c r="E56" s="22"/>
      <c r="F56" s="17"/>
      <c r="G56" s="13"/>
      <c r="H56" s="18"/>
      <c r="I56" s="19"/>
      <c r="J56" s="14"/>
      <c r="K56" s="15"/>
      <c r="L56" s="20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1.25" customHeight="1" x14ac:dyDescent="0.3">
      <c r="A57" s="21"/>
      <c r="B57" s="22"/>
      <c r="C57" s="12"/>
      <c r="D57" s="16"/>
      <c r="E57" s="22"/>
      <c r="F57" s="17"/>
      <c r="G57" s="13"/>
      <c r="H57" s="18"/>
      <c r="I57" s="19"/>
      <c r="J57" s="14"/>
      <c r="K57" s="15"/>
      <c r="L57" s="20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1.25" customHeight="1" x14ac:dyDescent="0.3">
      <c r="A58" s="21"/>
      <c r="B58" s="22"/>
      <c r="C58" s="12"/>
      <c r="D58" s="16"/>
      <c r="E58" s="22"/>
      <c r="F58" s="17"/>
      <c r="G58" s="13"/>
      <c r="H58" s="18"/>
      <c r="I58" s="19"/>
      <c r="J58" s="14"/>
      <c r="K58" s="15"/>
      <c r="L58" s="20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1.25" customHeight="1" x14ac:dyDescent="0.3">
      <c r="A59" s="21"/>
      <c r="B59" s="22"/>
      <c r="C59" s="12"/>
      <c r="D59" s="16"/>
      <c r="E59" s="22"/>
      <c r="F59" s="17"/>
      <c r="G59" s="13"/>
      <c r="H59" s="18"/>
      <c r="I59" s="19"/>
      <c r="J59" s="14"/>
      <c r="K59" s="15"/>
      <c r="L59" s="20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1.25" customHeight="1" x14ac:dyDescent="0.3">
      <c r="A60" s="21"/>
      <c r="B60" s="22"/>
      <c r="C60" s="12"/>
      <c r="D60" s="16"/>
      <c r="E60" s="22"/>
      <c r="F60" s="17"/>
      <c r="G60" s="13"/>
      <c r="H60" s="18"/>
      <c r="I60" s="19"/>
      <c r="J60" s="14"/>
      <c r="K60" s="15"/>
      <c r="L60" s="20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1.25" customHeight="1" x14ac:dyDescent="0.3">
      <c r="A61" s="21"/>
      <c r="B61" s="22"/>
      <c r="C61" s="12"/>
      <c r="D61" s="16"/>
      <c r="E61" s="22"/>
      <c r="F61" s="17"/>
      <c r="G61" s="13"/>
      <c r="H61" s="18"/>
      <c r="I61" s="19"/>
      <c r="J61" s="14"/>
      <c r="K61" s="15"/>
      <c r="L61" s="20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1.25" customHeight="1" x14ac:dyDescent="0.3">
      <c r="A62" s="21"/>
      <c r="B62" s="22"/>
      <c r="C62" s="12"/>
      <c r="D62" s="16"/>
      <c r="E62" s="22"/>
      <c r="F62" s="17"/>
      <c r="G62" s="13"/>
      <c r="H62" s="18"/>
      <c r="I62" s="19"/>
      <c r="J62" s="14"/>
      <c r="K62" s="15"/>
      <c r="L62" s="20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1.25" customHeight="1" x14ac:dyDescent="0.3">
      <c r="A63" s="21"/>
      <c r="B63" s="22"/>
      <c r="C63" s="12"/>
      <c r="D63" s="16"/>
      <c r="E63" s="22"/>
      <c r="F63" s="17"/>
      <c r="G63" s="13"/>
      <c r="H63" s="18"/>
      <c r="I63" s="19"/>
      <c r="J63" s="14"/>
      <c r="K63" s="15"/>
      <c r="L63" s="20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1.25" customHeight="1" x14ac:dyDescent="0.3">
      <c r="A64" s="21"/>
      <c r="B64" s="22"/>
      <c r="C64" s="12"/>
      <c r="D64" s="16"/>
      <c r="E64" s="22"/>
      <c r="F64" s="17"/>
      <c r="G64" s="13"/>
      <c r="H64" s="18"/>
      <c r="I64" s="19"/>
      <c r="J64" s="14"/>
      <c r="K64" s="15"/>
      <c r="L64" s="20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1.25" customHeight="1" x14ac:dyDescent="0.3">
      <c r="A65" s="21"/>
      <c r="B65" s="22"/>
      <c r="C65" s="12"/>
      <c r="D65" s="16"/>
      <c r="E65" s="22"/>
      <c r="F65" s="17"/>
      <c r="G65" s="13"/>
      <c r="H65" s="18"/>
      <c r="I65" s="19"/>
      <c r="J65" s="14"/>
      <c r="K65" s="15"/>
      <c r="L65" s="20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1.25" customHeight="1" x14ac:dyDescent="0.3">
      <c r="A66" s="21"/>
      <c r="B66" s="22"/>
      <c r="C66" s="12"/>
      <c r="D66" s="16"/>
      <c r="E66" s="22"/>
      <c r="F66" s="17"/>
      <c r="G66" s="13"/>
      <c r="H66" s="18"/>
      <c r="I66" s="19"/>
      <c r="J66" s="14"/>
      <c r="K66" s="15"/>
      <c r="L66" s="20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1.25" customHeight="1" x14ac:dyDescent="0.3">
      <c r="A67" s="21"/>
      <c r="B67" s="22"/>
      <c r="C67" s="12"/>
      <c r="D67" s="16"/>
      <c r="E67" s="22"/>
      <c r="F67" s="17"/>
      <c r="G67" s="13"/>
      <c r="H67" s="18"/>
      <c r="I67" s="19"/>
      <c r="J67" s="14"/>
      <c r="K67" s="15"/>
      <c r="L67" s="20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1.25" customHeight="1" x14ac:dyDescent="0.3">
      <c r="A68" s="21"/>
      <c r="B68" s="22"/>
      <c r="C68" s="12"/>
      <c r="D68" s="16"/>
      <c r="E68" s="22"/>
      <c r="F68" s="17"/>
      <c r="G68" s="13"/>
      <c r="H68" s="18"/>
      <c r="I68" s="19"/>
      <c r="J68" s="14"/>
      <c r="K68" s="15"/>
      <c r="L68" s="20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1.25" customHeight="1" x14ac:dyDescent="0.3">
      <c r="A69" s="21"/>
      <c r="B69" s="22"/>
      <c r="C69" s="12"/>
      <c r="D69" s="16"/>
      <c r="E69" s="22"/>
      <c r="F69" s="17"/>
      <c r="G69" s="13"/>
      <c r="H69" s="18"/>
      <c r="I69" s="19"/>
      <c r="J69" s="14"/>
      <c r="K69" s="15"/>
      <c r="L69" s="20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1.25" customHeight="1" x14ac:dyDescent="0.3">
      <c r="A70" s="21"/>
      <c r="B70" s="22"/>
      <c r="C70" s="12"/>
      <c r="D70" s="16"/>
      <c r="E70" s="22"/>
      <c r="F70" s="17"/>
      <c r="G70" s="13"/>
      <c r="H70" s="18"/>
      <c r="I70" s="19"/>
      <c r="J70" s="14"/>
      <c r="K70" s="15"/>
      <c r="L70" s="20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1.25" customHeight="1" x14ac:dyDescent="0.3">
      <c r="A71" s="21"/>
      <c r="B71" s="22"/>
      <c r="C71" s="12"/>
      <c r="D71" s="16"/>
      <c r="E71" s="22"/>
      <c r="F71" s="17"/>
      <c r="G71" s="13"/>
      <c r="H71" s="18"/>
      <c r="I71" s="19"/>
      <c r="J71" s="14"/>
      <c r="K71" s="15"/>
      <c r="L71" s="20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1.25" customHeight="1" x14ac:dyDescent="0.3">
      <c r="A72" s="21"/>
      <c r="B72" s="22"/>
      <c r="C72" s="12"/>
      <c r="D72" s="16"/>
      <c r="E72" s="22"/>
      <c r="F72" s="17"/>
      <c r="G72" s="13"/>
      <c r="H72" s="18"/>
      <c r="I72" s="19"/>
      <c r="J72" s="14"/>
      <c r="K72" s="15"/>
      <c r="L72" s="20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1.25" customHeight="1" x14ac:dyDescent="0.3">
      <c r="A73" s="21"/>
      <c r="B73" s="22"/>
      <c r="C73" s="12"/>
      <c r="D73" s="16"/>
      <c r="E73" s="22"/>
      <c r="F73" s="17"/>
      <c r="G73" s="13"/>
      <c r="H73" s="18"/>
      <c r="I73" s="19"/>
      <c r="J73" s="14"/>
      <c r="K73" s="15"/>
      <c r="L73" s="20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1.25" customHeight="1" x14ac:dyDescent="0.3">
      <c r="A74" s="21"/>
      <c r="B74" s="22"/>
      <c r="C74" s="12"/>
      <c r="D74" s="16"/>
      <c r="E74" s="22"/>
      <c r="F74" s="17"/>
      <c r="G74" s="13"/>
      <c r="H74" s="18"/>
      <c r="I74" s="19"/>
      <c r="J74" s="14"/>
      <c r="K74" s="15"/>
      <c r="L74" s="20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1.25" customHeight="1" x14ac:dyDescent="0.3">
      <c r="A75" s="21"/>
      <c r="B75" s="22"/>
      <c r="C75" s="12"/>
      <c r="D75" s="16"/>
      <c r="E75" s="22"/>
      <c r="F75" s="17"/>
      <c r="G75" s="13"/>
      <c r="H75" s="18"/>
      <c r="I75" s="19"/>
      <c r="J75" s="14"/>
      <c r="K75" s="15"/>
      <c r="L75" s="20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1.25" customHeight="1" x14ac:dyDescent="0.3">
      <c r="A76" s="21"/>
      <c r="B76" s="22"/>
      <c r="C76" s="12"/>
      <c r="D76" s="16"/>
      <c r="E76" s="22"/>
      <c r="F76" s="17"/>
      <c r="G76" s="13"/>
      <c r="H76" s="18"/>
      <c r="I76" s="19"/>
      <c r="J76" s="14"/>
      <c r="K76" s="15"/>
      <c r="L76" s="20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1.25" customHeight="1" x14ac:dyDescent="0.3">
      <c r="A77" s="21"/>
      <c r="B77" s="22"/>
      <c r="C77" s="12"/>
      <c r="D77" s="16"/>
      <c r="E77" s="22"/>
      <c r="F77" s="17"/>
      <c r="G77" s="13"/>
      <c r="H77" s="18"/>
      <c r="I77" s="19"/>
      <c r="J77" s="14"/>
      <c r="K77" s="15"/>
      <c r="L77" s="20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1.25" customHeight="1" x14ac:dyDescent="0.3">
      <c r="A78" s="21"/>
      <c r="B78" s="22"/>
      <c r="C78" s="12"/>
      <c r="D78" s="16"/>
      <c r="E78" s="22"/>
      <c r="F78" s="17"/>
      <c r="G78" s="13"/>
      <c r="H78" s="18"/>
      <c r="I78" s="19"/>
      <c r="J78" s="14"/>
      <c r="K78" s="15"/>
      <c r="L78" s="20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1.25" customHeight="1" x14ac:dyDescent="0.3">
      <c r="A79" s="21"/>
      <c r="B79" s="22"/>
      <c r="C79" s="12"/>
      <c r="D79" s="16"/>
      <c r="E79" s="22"/>
      <c r="F79" s="17"/>
      <c r="G79" s="13"/>
      <c r="H79" s="18"/>
      <c r="I79" s="19"/>
      <c r="J79" s="14"/>
      <c r="K79" s="15"/>
      <c r="L79" s="20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1.25" customHeight="1" x14ac:dyDescent="0.3">
      <c r="A80" s="21"/>
      <c r="B80" s="22"/>
      <c r="C80" s="12"/>
      <c r="D80" s="16"/>
      <c r="E80" s="22"/>
      <c r="F80" s="17"/>
      <c r="G80" s="13"/>
      <c r="H80" s="18"/>
      <c r="I80" s="19"/>
      <c r="J80" s="14"/>
      <c r="K80" s="15"/>
      <c r="L80" s="20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1.25" customHeight="1" x14ac:dyDescent="0.3">
      <c r="A81" s="21"/>
      <c r="B81" s="22"/>
      <c r="C81" s="12"/>
      <c r="D81" s="16"/>
      <c r="E81" s="22"/>
      <c r="F81" s="17"/>
      <c r="G81" s="13"/>
      <c r="H81" s="18"/>
      <c r="I81" s="19"/>
      <c r="J81" s="14"/>
      <c r="K81" s="15"/>
      <c r="L81" s="20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1.25" customHeight="1" x14ac:dyDescent="0.3">
      <c r="A82" s="21"/>
      <c r="B82" s="22"/>
      <c r="C82" s="12"/>
      <c r="D82" s="16"/>
      <c r="E82" s="22"/>
      <c r="F82" s="17"/>
      <c r="G82" s="13"/>
      <c r="H82" s="18"/>
      <c r="I82" s="19"/>
      <c r="J82" s="14"/>
      <c r="K82" s="15"/>
      <c r="L82" s="20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1.25" customHeight="1" x14ac:dyDescent="0.3">
      <c r="A83" s="21"/>
      <c r="B83" s="22"/>
      <c r="C83" s="12"/>
      <c r="D83" s="16"/>
      <c r="E83" s="22"/>
      <c r="F83" s="17"/>
      <c r="G83" s="13"/>
      <c r="H83" s="18"/>
      <c r="I83" s="19"/>
      <c r="J83" s="14"/>
      <c r="K83" s="15"/>
      <c r="L83" s="20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1.25" customHeight="1" x14ac:dyDescent="0.3">
      <c r="A84" s="21"/>
      <c r="B84" s="22"/>
      <c r="C84" s="12"/>
      <c r="D84" s="16"/>
      <c r="E84" s="22"/>
      <c r="F84" s="17"/>
      <c r="G84" s="13"/>
      <c r="H84" s="18"/>
      <c r="I84" s="19"/>
      <c r="J84" s="14"/>
      <c r="K84" s="15"/>
      <c r="L84" s="20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1.25" customHeight="1" x14ac:dyDescent="0.3">
      <c r="A85" s="21"/>
      <c r="B85" s="22"/>
      <c r="C85" s="12"/>
      <c r="D85" s="16"/>
      <c r="E85" s="22"/>
      <c r="F85" s="17"/>
      <c r="G85" s="13"/>
      <c r="H85" s="18"/>
      <c r="I85" s="19"/>
      <c r="J85" s="14"/>
      <c r="K85" s="15"/>
      <c r="L85" s="20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1.25" customHeight="1" x14ac:dyDescent="0.3">
      <c r="A86" s="21"/>
      <c r="B86" s="22"/>
      <c r="C86" s="12"/>
      <c r="D86" s="16"/>
      <c r="E86" s="22"/>
      <c r="F86" s="17"/>
      <c r="G86" s="13"/>
      <c r="H86" s="18"/>
      <c r="I86" s="19"/>
      <c r="J86" s="14"/>
      <c r="K86" s="15"/>
      <c r="L86" s="20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1.25" customHeight="1" x14ac:dyDescent="0.3">
      <c r="A87" s="21"/>
      <c r="B87" s="22"/>
      <c r="C87" s="12"/>
      <c r="D87" s="16"/>
      <c r="E87" s="22"/>
      <c r="F87" s="17"/>
      <c r="G87" s="13"/>
      <c r="H87" s="18"/>
      <c r="I87" s="19"/>
      <c r="J87" s="14"/>
      <c r="K87" s="15"/>
      <c r="L87" s="20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1.25" customHeight="1" x14ac:dyDescent="0.3">
      <c r="A88" s="21"/>
      <c r="B88" s="22"/>
      <c r="C88" s="12"/>
      <c r="D88" s="16"/>
      <c r="E88" s="22"/>
      <c r="F88" s="17"/>
      <c r="G88" s="13"/>
      <c r="H88" s="18"/>
      <c r="I88" s="19"/>
      <c r="J88" s="14"/>
      <c r="K88" s="15"/>
      <c r="L88" s="20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1.25" customHeight="1" x14ac:dyDescent="0.3">
      <c r="A89" s="21"/>
      <c r="B89" s="22"/>
      <c r="C89" s="12"/>
      <c r="D89" s="16"/>
      <c r="E89" s="22"/>
      <c r="F89" s="17"/>
      <c r="G89" s="13"/>
      <c r="H89" s="18"/>
      <c r="I89" s="19"/>
      <c r="J89" s="14"/>
      <c r="K89" s="15"/>
      <c r="L89" s="20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1.25" customHeight="1" x14ac:dyDescent="0.3">
      <c r="A90" s="21"/>
      <c r="B90" s="22"/>
      <c r="C90" s="12"/>
      <c r="D90" s="16"/>
      <c r="E90" s="22"/>
      <c r="F90" s="17"/>
      <c r="G90" s="13"/>
      <c r="H90" s="18"/>
      <c r="I90" s="19"/>
      <c r="J90" s="14"/>
      <c r="K90" s="15"/>
      <c r="L90" s="20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1.25" customHeight="1" x14ac:dyDescent="0.3">
      <c r="A91" s="21"/>
      <c r="B91" s="22"/>
      <c r="C91" s="12"/>
      <c r="D91" s="16"/>
      <c r="E91" s="22"/>
      <c r="F91" s="17"/>
      <c r="G91" s="13"/>
      <c r="H91" s="18"/>
      <c r="I91" s="19"/>
      <c r="J91" s="14"/>
      <c r="K91" s="15"/>
      <c r="L91" s="20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1.25" customHeight="1" x14ac:dyDescent="0.3">
      <c r="A92" s="21"/>
      <c r="B92" s="22"/>
      <c r="C92" s="12"/>
      <c r="D92" s="16"/>
      <c r="E92" s="22"/>
      <c r="F92" s="17"/>
      <c r="G92" s="13"/>
      <c r="H92" s="18"/>
      <c r="I92" s="19"/>
      <c r="J92" s="14"/>
      <c r="K92" s="15"/>
      <c r="L92" s="20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1.25" customHeight="1" x14ac:dyDescent="0.3">
      <c r="A93" s="21"/>
      <c r="B93" s="22"/>
      <c r="C93" s="12"/>
      <c r="D93" s="16"/>
      <c r="E93" s="22"/>
      <c r="F93" s="17"/>
      <c r="G93" s="13"/>
      <c r="H93" s="18"/>
      <c r="I93" s="19"/>
      <c r="J93" s="14"/>
      <c r="K93" s="15"/>
      <c r="L93" s="20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1.25" customHeight="1" x14ac:dyDescent="0.3">
      <c r="A94" s="21"/>
      <c r="B94" s="22"/>
      <c r="C94" s="12"/>
      <c r="D94" s="16"/>
      <c r="E94" s="22"/>
      <c r="F94" s="17"/>
      <c r="G94" s="13"/>
      <c r="H94" s="18"/>
      <c r="I94" s="19"/>
      <c r="J94" s="14"/>
      <c r="K94" s="15"/>
      <c r="L94" s="20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1.25" customHeight="1" x14ac:dyDescent="0.3">
      <c r="A95" s="21"/>
      <c r="B95" s="22"/>
      <c r="C95" s="12"/>
      <c r="D95" s="16"/>
      <c r="E95" s="22"/>
      <c r="F95" s="17"/>
      <c r="G95" s="13"/>
      <c r="H95" s="18"/>
      <c r="I95" s="19"/>
      <c r="J95" s="14"/>
      <c r="K95" s="15"/>
      <c r="L95" s="20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1.25" customHeight="1" x14ac:dyDescent="0.3">
      <c r="A96" s="21"/>
      <c r="B96" s="22"/>
      <c r="C96" s="12"/>
      <c r="D96" s="16"/>
      <c r="E96" s="22"/>
      <c r="F96" s="17"/>
      <c r="G96" s="13"/>
      <c r="H96" s="18"/>
      <c r="I96" s="19"/>
      <c r="J96" s="14"/>
      <c r="K96" s="15"/>
      <c r="L96" s="20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1.25" customHeight="1" x14ac:dyDescent="0.3">
      <c r="A97" s="21"/>
      <c r="B97" s="22"/>
      <c r="C97" s="12"/>
      <c r="D97" s="16"/>
      <c r="E97" s="22"/>
      <c r="F97" s="17"/>
      <c r="G97" s="13"/>
      <c r="H97" s="18"/>
      <c r="I97" s="19"/>
      <c r="J97" s="14"/>
      <c r="K97" s="15"/>
      <c r="L97" s="20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1.25" customHeight="1" x14ac:dyDescent="0.3">
      <c r="A98" s="21"/>
      <c r="B98" s="22"/>
      <c r="C98" s="12"/>
      <c r="D98" s="16"/>
      <c r="E98" s="22"/>
      <c r="F98" s="17"/>
      <c r="G98" s="13"/>
      <c r="H98" s="18"/>
      <c r="I98" s="19"/>
      <c r="J98" s="14"/>
      <c r="K98" s="15"/>
      <c r="L98" s="20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1.25" customHeight="1" x14ac:dyDescent="0.3">
      <c r="A99" s="21"/>
      <c r="B99" s="22"/>
      <c r="C99" s="12"/>
      <c r="D99" s="16"/>
      <c r="E99" s="22"/>
      <c r="F99" s="17"/>
      <c r="G99" s="13"/>
      <c r="H99" s="18"/>
      <c r="I99" s="19"/>
      <c r="J99" s="14"/>
      <c r="K99" s="15"/>
      <c r="L99" s="20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1.25" customHeight="1" x14ac:dyDescent="0.3">
      <c r="A100" s="21"/>
      <c r="B100" s="22"/>
      <c r="C100" s="12"/>
      <c r="D100" s="16"/>
      <c r="E100" s="22"/>
      <c r="F100" s="17"/>
      <c r="G100" s="13"/>
      <c r="H100" s="18"/>
      <c r="I100" s="19"/>
      <c r="J100" s="14"/>
      <c r="K100" s="15"/>
      <c r="L100" s="20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1.25" customHeight="1" x14ac:dyDescent="0.3">
      <c r="A101" s="21"/>
      <c r="B101" s="22"/>
      <c r="C101" s="12"/>
      <c r="D101" s="16"/>
      <c r="E101" s="22"/>
      <c r="F101" s="17"/>
      <c r="G101" s="13"/>
      <c r="H101" s="18"/>
      <c r="I101" s="19"/>
      <c r="J101" s="14"/>
      <c r="K101" s="15"/>
      <c r="L101" s="20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1.25" customHeight="1" x14ac:dyDescent="0.3">
      <c r="A102" s="21"/>
      <c r="B102" s="22"/>
      <c r="C102" s="12"/>
      <c r="D102" s="16"/>
      <c r="E102" s="22"/>
      <c r="F102" s="17"/>
      <c r="G102" s="13"/>
      <c r="H102" s="18"/>
      <c r="I102" s="19"/>
      <c r="J102" s="14"/>
      <c r="K102" s="15"/>
      <c r="L102" s="20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1.25" customHeight="1" x14ac:dyDescent="0.3">
      <c r="A103" s="21"/>
      <c r="B103" s="22"/>
      <c r="C103" s="12"/>
      <c r="D103" s="16"/>
      <c r="E103" s="22"/>
      <c r="F103" s="17"/>
      <c r="G103" s="13"/>
      <c r="H103" s="18"/>
      <c r="I103" s="19"/>
      <c r="J103" s="14"/>
      <c r="K103" s="15"/>
      <c r="L103" s="20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1.25" customHeight="1" x14ac:dyDescent="0.3">
      <c r="A104" s="21"/>
      <c r="B104" s="22"/>
      <c r="C104" s="12"/>
      <c r="D104" s="16"/>
      <c r="E104" s="22"/>
      <c r="F104" s="17"/>
      <c r="G104" s="13"/>
      <c r="H104" s="18"/>
      <c r="I104" s="19"/>
      <c r="J104" s="14"/>
      <c r="K104" s="15"/>
      <c r="L104" s="20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1.25" customHeight="1" x14ac:dyDescent="0.3">
      <c r="A105" s="21"/>
      <c r="B105" s="22"/>
      <c r="C105" s="12"/>
      <c r="D105" s="16"/>
      <c r="E105" s="22"/>
      <c r="F105" s="17"/>
      <c r="G105" s="13"/>
      <c r="H105" s="18"/>
      <c r="I105" s="19"/>
      <c r="J105" s="14"/>
      <c r="K105" s="15"/>
      <c r="L105" s="20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1.25" customHeight="1" x14ac:dyDescent="0.3">
      <c r="A106" s="21"/>
      <c r="B106" s="22"/>
      <c r="C106" s="12"/>
      <c r="D106" s="16"/>
      <c r="E106" s="22"/>
      <c r="F106" s="17"/>
      <c r="G106" s="13"/>
      <c r="H106" s="18"/>
      <c r="I106" s="19"/>
      <c r="J106" s="14"/>
      <c r="K106" s="15"/>
      <c r="L106" s="20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1.25" customHeight="1" x14ac:dyDescent="0.3">
      <c r="A107" s="21"/>
      <c r="B107" s="22"/>
      <c r="C107" s="12"/>
      <c r="D107" s="16"/>
      <c r="E107" s="22"/>
      <c r="F107" s="17"/>
      <c r="G107" s="13"/>
      <c r="H107" s="18"/>
      <c r="I107" s="19"/>
      <c r="J107" s="14"/>
      <c r="K107" s="15"/>
      <c r="L107" s="20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1.25" customHeight="1" x14ac:dyDescent="0.3">
      <c r="A108" s="21"/>
      <c r="B108" s="22"/>
      <c r="C108" s="12"/>
      <c r="D108" s="16"/>
      <c r="E108" s="22"/>
      <c r="F108" s="17"/>
      <c r="G108" s="13"/>
      <c r="H108" s="18"/>
      <c r="I108" s="19"/>
      <c r="J108" s="14"/>
      <c r="K108" s="15"/>
      <c r="L108" s="20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1.25" customHeight="1" x14ac:dyDescent="0.3">
      <c r="A109" s="21"/>
      <c r="B109" s="22"/>
      <c r="C109" s="12"/>
      <c r="D109" s="16"/>
      <c r="E109" s="22"/>
      <c r="F109" s="17"/>
      <c r="G109" s="13"/>
      <c r="H109" s="18"/>
      <c r="I109" s="19"/>
      <c r="J109" s="14"/>
      <c r="K109" s="15"/>
      <c r="L109" s="20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1.25" customHeight="1" x14ac:dyDescent="0.3">
      <c r="A110" s="21"/>
      <c r="B110" s="22"/>
      <c r="C110" s="12"/>
      <c r="D110" s="16"/>
      <c r="E110" s="22"/>
      <c r="F110" s="17"/>
      <c r="G110" s="13"/>
      <c r="H110" s="18"/>
      <c r="I110" s="19"/>
      <c r="J110" s="14"/>
      <c r="K110" s="15"/>
      <c r="L110" s="20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1.25" customHeight="1" x14ac:dyDescent="0.3">
      <c r="A111" s="21"/>
      <c r="B111" s="22"/>
      <c r="C111" s="12"/>
      <c r="D111" s="16"/>
      <c r="E111" s="22"/>
      <c r="F111" s="17"/>
      <c r="G111" s="13"/>
      <c r="H111" s="18"/>
      <c r="I111" s="19"/>
      <c r="J111" s="14"/>
      <c r="K111" s="15"/>
      <c r="L111" s="20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1.25" customHeight="1" x14ac:dyDescent="0.3">
      <c r="A112" s="21"/>
      <c r="B112" s="22"/>
      <c r="C112" s="12"/>
      <c r="D112" s="16"/>
      <c r="E112" s="22"/>
      <c r="F112" s="17"/>
      <c r="G112" s="13"/>
      <c r="H112" s="18"/>
      <c r="I112" s="19"/>
      <c r="J112" s="14"/>
      <c r="K112" s="15"/>
      <c r="L112" s="20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1.25" customHeight="1" x14ac:dyDescent="0.3">
      <c r="A113" s="21"/>
      <c r="B113" s="22"/>
      <c r="C113" s="12"/>
      <c r="D113" s="16"/>
      <c r="E113" s="22"/>
      <c r="F113" s="17"/>
      <c r="G113" s="13"/>
      <c r="H113" s="18"/>
      <c r="I113" s="19"/>
      <c r="J113" s="14"/>
      <c r="K113" s="15"/>
      <c r="L113" s="20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1.25" customHeight="1" x14ac:dyDescent="0.3">
      <c r="A114" s="21"/>
      <c r="B114" s="22"/>
      <c r="C114" s="12"/>
      <c r="D114" s="16"/>
      <c r="E114" s="22"/>
      <c r="F114" s="17"/>
      <c r="G114" s="13"/>
      <c r="H114" s="18"/>
      <c r="I114" s="19"/>
      <c r="J114" s="14"/>
      <c r="K114" s="15"/>
      <c r="L114" s="20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1.25" customHeight="1" x14ac:dyDescent="0.3">
      <c r="A115" s="21"/>
      <c r="B115" s="22"/>
      <c r="C115" s="12"/>
      <c r="D115" s="16"/>
      <c r="E115" s="22"/>
      <c r="F115" s="17"/>
      <c r="G115" s="13"/>
      <c r="H115" s="18"/>
      <c r="I115" s="19"/>
      <c r="J115" s="14"/>
      <c r="K115" s="15"/>
      <c r="L115" s="20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1.25" customHeight="1" x14ac:dyDescent="0.3">
      <c r="A116" s="21"/>
      <c r="B116" s="22"/>
      <c r="C116" s="12"/>
      <c r="D116" s="16"/>
      <c r="E116" s="22"/>
      <c r="F116" s="17"/>
      <c r="G116" s="13"/>
      <c r="H116" s="18"/>
      <c r="I116" s="19"/>
      <c r="J116" s="14"/>
      <c r="K116" s="15"/>
      <c r="L116" s="20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1.25" customHeight="1" x14ac:dyDescent="0.3">
      <c r="A117" s="21"/>
      <c r="B117" s="22"/>
      <c r="C117" s="12"/>
      <c r="D117" s="16"/>
      <c r="E117" s="22"/>
      <c r="F117" s="17"/>
      <c r="G117" s="13"/>
      <c r="H117" s="18"/>
      <c r="I117" s="19"/>
      <c r="J117" s="14"/>
      <c r="K117" s="15"/>
      <c r="L117" s="20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1.25" customHeight="1" x14ac:dyDescent="0.3">
      <c r="A118" s="21"/>
      <c r="B118" s="22"/>
      <c r="C118" s="12"/>
      <c r="D118" s="16"/>
      <c r="E118" s="22"/>
      <c r="F118" s="17"/>
      <c r="G118" s="13"/>
      <c r="H118" s="18"/>
      <c r="I118" s="19"/>
      <c r="J118" s="14"/>
      <c r="K118" s="15"/>
      <c r="L118" s="20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1.25" customHeight="1" x14ac:dyDescent="0.3">
      <c r="A119" s="21"/>
      <c r="B119" s="22"/>
      <c r="C119" s="12"/>
      <c r="D119" s="16"/>
      <c r="E119" s="22"/>
      <c r="F119" s="17"/>
      <c r="G119" s="13"/>
      <c r="H119" s="18"/>
      <c r="I119" s="19"/>
      <c r="J119" s="14"/>
      <c r="K119" s="15"/>
      <c r="L119" s="20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1.25" customHeight="1" x14ac:dyDescent="0.3">
      <c r="A120" s="21"/>
      <c r="B120" s="22"/>
      <c r="C120" s="12"/>
      <c r="D120" s="16"/>
      <c r="E120" s="22"/>
      <c r="F120" s="17"/>
      <c r="G120" s="13"/>
      <c r="H120" s="18"/>
      <c r="I120" s="19"/>
      <c r="J120" s="14"/>
      <c r="K120" s="15"/>
      <c r="L120" s="20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1.25" customHeight="1" x14ac:dyDescent="0.3">
      <c r="A121" s="21"/>
      <c r="B121" s="22"/>
      <c r="C121" s="12"/>
      <c r="D121" s="16"/>
      <c r="E121" s="22"/>
      <c r="F121" s="17"/>
      <c r="G121" s="13"/>
      <c r="H121" s="18"/>
      <c r="I121" s="19"/>
      <c r="J121" s="14"/>
      <c r="K121" s="15"/>
      <c r="L121" s="20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1.25" customHeight="1" x14ac:dyDescent="0.3">
      <c r="A122" s="21"/>
      <c r="B122" s="22"/>
      <c r="C122" s="12"/>
      <c r="D122" s="16"/>
      <c r="E122" s="22"/>
      <c r="F122" s="17"/>
      <c r="G122" s="13"/>
      <c r="H122" s="18"/>
      <c r="I122" s="19"/>
      <c r="J122" s="14"/>
      <c r="K122" s="15"/>
      <c r="L122" s="20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1.25" customHeight="1" x14ac:dyDescent="0.3">
      <c r="A123" s="21"/>
      <c r="B123" s="22"/>
      <c r="C123" s="12"/>
      <c r="D123" s="16"/>
      <c r="E123" s="22"/>
      <c r="F123" s="17"/>
      <c r="G123" s="13"/>
      <c r="H123" s="18"/>
      <c r="I123" s="19"/>
      <c r="J123" s="14"/>
      <c r="K123" s="15"/>
      <c r="L123" s="20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1.25" customHeight="1" x14ac:dyDescent="0.3">
      <c r="A124" s="21"/>
      <c r="B124" s="22"/>
      <c r="C124" s="12"/>
      <c r="D124" s="16"/>
      <c r="E124" s="22"/>
      <c r="F124" s="17"/>
      <c r="G124" s="13"/>
      <c r="H124" s="18"/>
      <c r="I124" s="19"/>
      <c r="J124" s="14"/>
      <c r="K124" s="15"/>
      <c r="L124" s="20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1.25" customHeight="1" x14ac:dyDescent="0.3">
      <c r="A125" s="21"/>
      <c r="B125" s="22"/>
      <c r="C125" s="12"/>
      <c r="D125" s="16"/>
      <c r="E125" s="22"/>
      <c r="F125" s="17"/>
      <c r="G125" s="13"/>
      <c r="H125" s="18"/>
      <c r="I125" s="19"/>
      <c r="J125" s="14"/>
      <c r="K125" s="15"/>
      <c r="L125" s="20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1.25" customHeight="1" x14ac:dyDescent="0.3">
      <c r="A126" s="21"/>
      <c r="B126" s="22"/>
      <c r="C126" s="12"/>
      <c r="D126" s="16"/>
      <c r="E126" s="22"/>
      <c r="F126" s="17"/>
      <c r="G126" s="13"/>
      <c r="H126" s="18"/>
      <c r="I126" s="19"/>
      <c r="J126" s="14"/>
      <c r="K126" s="15"/>
      <c r="L126" s="20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1.25" customHeight="1" x14ac:dyDescent="0.3">
      <c r="A127" s="21"/>
      <c r="B127" s="22"/>
      <c r="C127" s="12"/>
      <c r="D127" s="16"/>
      <c r="E127" s="22"/>
      <c r="F127" s="17"/>
      <c r="G127" s="13"/>
      <c r="H127" s="18"/>
      <c r="I127" s="19"/>
      <c r="J127" s="14"/>
      <c r="K127" s="15"/>
      <c r="L127" s="20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1.25" customHeight="1" x14ac:dyDescent="0.3">
      <c r="A128" s="21"/>
      <c r="B128" s="22"/>
      <c r="C128" s="12"/>
      <c r="D128" s="16"/>
      <c r="E128" s="22"/>
      <c r="F128" s="17"/>
      <c r="G128" s="13"/>
      <c r="H128" s="18"/>
      <c r="I128" s="19"/>
      <c r="J128" s="14"/>
      <c r="K128" s="15"/>
      <c r="L128" s="20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1.25" customHeight="1" x14ac:dyDescent="0.3">
      <c r="A129" s="21"/>
      <c r="B129" s="22"/>
      <c r="C129" s="12"/>
      <c r="D129" s="16"/>
      <c r="E129" s="22"/>
      <c r="F129" s="17"/>
      <c r="G129" s="13"/>
      <c r="H129" s="18"/>
      <c r="I129" s="19"/>
      <c r="J129" s="14"/>
      <c r="K129" s="15"/>
      <c r="L129" s="20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1.25" customHeight="1" x14ac:dyDescent="0.3">
      <c r="A130" s="21"/>
      <c r="B130" s="22"/>
      <c r="C130" s="12"/>
      <c r="D130" s="16"/>
      <c r="E130" s="22"/>
      <c r="F130" s="17"/>
      <c r="G130" s="13"/>
      <c r="H130" s="18"/>
      <c r="I130" s="19"/>
      <c r="J130" s="14"/>
      <c r="K130" s="15"/>
      <c r="L130" s="20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1.25" customHeight="1" x14ac:dyDescent="0.3">
      <c r="A131" s="21"/>
      <c r="B131" s="22"/>
      <c r="C131" s="12"/>
      <c r="D131" s="16"/>
      <c r="E131" s="22"/>
      <c r="F131" s="17"/>
      <c r="G131" s="13"/>
      <c r="H131" s="18"/>
      <c r="I131" s="19"/>
      <c r="J131" s="14"/>
      <c r="K131" s="15"/>
      <c r="L131" s="20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1.25" customHeight="1" x14ac:dyDescent="0.3">
      <c r="A132" s="21"/>
      <c r="B132" s="22"/>
      <c r="C132" s="12"/>
      <c r="D132" s="16"/>
      <c r="E132" s="22"/>
      <c r="F132" s="17"/>
      <c r="G132" s="13"/>
      <c r="H132" s="18"/>
      <c r="I132" s="19"/>
      <c r="J132" s="14"/>
      <c r="K132" s="15"/>
      <c r="L132" s="20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75" customHeight="1" x14ac:dyDescent="0.3">
      <c r="A133" s="11"/>
      <c r="B133" s="11"/>
      <c r="C133" s="11"/>
      <c r="D133" s="9"/>
      <c r="E133" s="11"/>
      <c r="F133" s="11"/>
      <c r="G133" s="11"/>
      <c r="H133" s="11"/>
      <c r="I133" s="11"/>
      <c r="J133" s="23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75" customHeight="1" x14ac:dyDescent="0.3">
      <c r="A134" s="11"/>
      <c r="B134" s="11"/>
      <c r="C134" s="11"/>
      <c r="D134" s="9"/>
      <c r="E134" s="11"/>
      <c r="F134" s="11"/>
      <c r="G134" s="11"/>
      <c r="H134" s="11"/>
      <c r="I134" s="11"/>
      <c r="J134" s="23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75" customHeight="1" x14ac:dyDescent="0.3">
      <c r="A135" s="11"/>
      <c r="B135" s="11"/>
      <c r="C135" s="11"/>
      <c r="D135" s="9"/>
      <c r="E135" s="11"/>
      <c r="F135" s="11"/>
      <c r="G135" s="11"/>
      <c r="H135" s="11"/>
      <c r="I135" s="11"/>
      <c r="J135" s="23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75" customHeight="1" x14ac:dyDescent="0.3">
      <c r="A136" s="11"/>
      <c r="B136" s="11"/>
      <c r="C136" s="11"/>
      <c r="D136" s="9"/>
      <c r="E136" s="11"/>
      <c r="F136" s="11"/>
      <c r="G136" s="11"/>
      <c r="H136" s="11"/>
      <c r="I136" s="11"/>
      <c r="J136" s="23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75" customHeight="1" x14ac:dyDescent="0.3">
      <c r="A137" s="11"/>
      <c r="B137" s="11"/>
      <c r="C137" s="11"/>
      <c r="D137" s="9"/>
      <c r="E137" s="11"/>
      <c r="F137" s="11"/>
      <c r="G137" s="11"/>
      <c r="H137" s="11"/>
      <c r="I137" s="11"/>
      <c r="J137" s="23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75" customHeight="1" x14ac:dyDescent="0.3">
      <c r="A138" s="11"/>
      <c r="B138" s="11"/>
      <c r="C138" s="11"/>
      <c r="D138" s="9"/>
      <c r="E138" s="11"/>
      <c r="F138" s="11"/>
      <c r="G138" s="11"/>
      <c r="H138" s="11"/>
      <c r="I138" s="11"/>
      <c r="J138" s="23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75" customHeight="1" x14ac:dyDescent="0.3">
      <c r="A139" s="11"/>
      <c r="B139" s="11"/>
      <c r="C139" s="11"/>
      <c r="D139" s="9"/>
      <c r="E139" s="11"/>
      <c r="F139" s="11"/>
      <c r="G139" s="11"/>
      <c r="H139" s="11"/>
      <c r="I139" s="11"/>
      <c r="J139" s="23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75" customHeight="1" x14ac:dyDescent="0.3">
      <c r="A140" s="11"/>
      <c r="B140" s="11"/>
      <c r="C140" s="11"/>
      <c r="D140" s="9"/>
      <c r="E140" s="11"/>
      <c r="F140" s="11"/>
      <c r="G140" s="11"/>
      <c r="H140" s="11"/>
      <c r="I140" s="11"/>
      <c r="J140" s="23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75" customHeight="1" x14ac:dyDescent="0.3">
      <c r="A141" s="11"/>
      <c r="B141" s="11"/>
      <c r="C141" s="11"/>
      <c r="D141" s="9"/>
      <c r="E141" s="11"/>
      <c r="F141" s="11"/>
      <c r="G141" s="11"/>
      <c r="H141" s="11"/>
      <c r="I141" s="11"/>
      <c r="J141" s="23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75" customHeight="1" x14ac:dyDescent="0.3">
      <c r="A142" s="11"/>
      <c r="B142" s="11"/>
      <c r="C142" s="11"/>
      <c r="D142" s="9"/>
      <c r="E142" s="11"/>
      <c r="F142" s="11"/>
      <c r="G142" s="11"/>
      <c r="H142" s="11"/>
      <c r="I142" s="11"/>
      <c r="J142" s="23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75" customHeight="1" x14ac:dyDescent="0.3">
      <c r="A143" s="11"/>
      <c r="B143" s="11"/>
      <c r="C143" s="11"/>
      <c r="D143" s="9"/>
      <c r="E143" s="11"/>
      <c r="F143" s="11"/>
      <c r="G143" s="11"/>
      <c r="H143" s="11"/>
      <c r="I143" s="11"/>
      <c r="J143" s="23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75" customHeight="1" x14ac:dyDescent="0.3">
      <c r="A144" s="11"/>
      <c r="B144" s="11"/>
      <c r="C144" s="11"/>
      <c r="D144" s="9"/>
      <c r="E144" s="11"/>
      <c r="F144" s="11"/>
      <c r="G144" s="11"/>
      <c r="H144" s="11"/>
      <c r="I144" s="11"/>
      <c r="J144" s="23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75" customHeight="1" x14ac:dyDescent="0.3">
      <c r="A145" s="11"/>
      <c r="B145" s="11"/>
      <c r="C145" s="11"/>
      <c r="D145" s="9"/>
      <c r="E145" s="11"/>
      <c r="F145" s="11"/>
      <c r="G145" s="11"/>
      <c r="H145" s="11"/>
      <c r="I145" s="11"/>
      <c r="J145" s="23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75" customHeight="1" x14ac:dyDescent="0.3">
      <c r="A146" s="11"/>
      <c r="B146" s="11"/>
      <c r="C146" s="11"/>
      <c r="D146" s="9"/>
      <c r="E146" s="11"/>
      <c r="F146" s="11"/>
      <c r="G146" s="11"/>
      <c r="H146" s="11"/>
      <c r="I146" s="11"/>
      <c r="J146" s="23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75" customHeight="1" x14ac:dyDescent="0.3">
      <c r="A147" s="11"/>
      <c r="B147" s="11"/>
      <c r="C147" s="11"/>
      <c r="D147" s="9"/>
      <c r="E147" s="11"/>
      <c r="F147" s="11"/>
      <c r="G147" s="11"/>
      <c r="H147" s="11"/>
      <c r="I147" s="11"/>
      <c r="J147" s="23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75" customHeight="1" x14ac:dyDescent="0.3">
      <c r="A148" s="11"/>
      <c r="B148" s="11"/>
      <c r="C148" s="11"/>
      <c r="D148" s="9"/>
      <c r="E148" s="11"/>
      <c r="F148" s="11"/>
      <c r="G148" s="11"/>
      <c r="H148" s="11"/>
      <c r="I148" s="11"/>
      <c r="J148" s="23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75" customHeight="1" x14ac:dyDescent="0.3">
      <c r="A149" s="11"/>
      <c r="B149" s="11"/>
      <c r="C149" s="11"/>
      <c r="D149" s="9"/>
      <c r="E149" s="11"/>
      <c r="F149" s="11"/>
      <c r="G149" s="11"/>
      <c r="H149" s="11"/>
      <c r="I149" s="11"/>
      <c r="J149" s="23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75" customHeight="1" x14ac:dyDescent="0.3">
      <c r="A150" s="11"/>
      <c r="B150" s="11"/>
      <c r="C150" s="11"/>
      <c r="D150" s="9"/>
      <c r="E150" s="11"/>
      <c r="F150" s="11"/>
      <c r="G150" s="11"/>
      <c r="H150" s="11"/>
      <c r="I150" s="11"/>
      <c r="J150" s="23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75" customHeight="1" x14ac:dyDescent="0.3">
      <c r="A151" s="11"/>
      <c r="B151" s="11"/>
      <c r="C151" s="11"/>
      <c r="D151" s="9"/>
      <c r="E151" s="11"/>
      <c r="F151" s="11"/>
      <c r="G151" s="11"/>
      <c r="H151" s="11"/>
      <c r="I151" s="11"/>
      <c r="J151" s="23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75" customHeight="1" x14ac:dyDescent="0.3">
      <c r="A152" s="11"/>
      <c r="B152" s="11"/>
      <c r="C152" s="11"/>
      <c r="D152" s="9"/>
      <c r="E152" s="11"/>
      <c r="F152" s="11"/>
      <c r="G152" s="11"/>
      <c r="H152" s="11"/>
      <c r="I152" s="11"/>
      <c r="J152" s="23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75" customHeight="1" x14ac:dyDescent="0.3">
      <c r="A153" s="11"/>
      <c r="B153" s="11"/>
      <c r="C153" s="11"/>
      <c r="D153" s="9"/>
      <c r="E153" s="11"/>
      <c r="F153" s="11"/>
      <c r="G153" s="11"/>
      <c r="H153" s="11"/>
      <c r="I153" s="11"/>
      <c r="J153" s="23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75" customHeight="1" x14ac:dyDescent="0.3">
      <c r="A154" s="11"/>
      <c r="B154" s="11"/>
      <c r="C154" s="11"/>
      <c r="D154" s="9"/>
      <c r="E154" s="11"/>
      <c r="F154" s="11"/>
      <c r="G154" s="11"/>
      <c r="H154" s="11"/>
      <c r="I154" s="11"/>
      <c r="J154" s="23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75" customHeight="1" x14ac:dyDescent="0.3">
      <c r="A155" s="11"/>
      <c r="B155" s="11"/>
      <c r="C155" s="11"/>
      <c r="D155" s="9"/>
      <c r="E155" s="11"/>
      <c r="F155" s="11"/>
      <c r="G155" s="11"/>
      <c r="H155" s="11"/>
      <c r="I155" s="11"/>
      <c r="J155" s="23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75" customHeight="1" x14ac:dyDescent="0.3">
      <c r="A156" s="11"/>
      <c r="B156" s="11"/>
      <c r="C156" s="11"/>
      <c r="D156" s="9"/>
      <c r="E156" s="11"/>
      <c r="F156" s="11"/>
      <c r="G156" s="11"/>
      <c r="H156" s="11"/>
      <c r="I156" s="11"/>
      <c r="J156" s="23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75" customHeight="1" x14ac:dyDescent="0.3">
      <c r="A157" s="11"/>
      <c r="B157" s="11"/>
      <c r="C157" s="11"/>
      <c r="D157" s="9"/>
      <c r="E157" s="11"/>
      <c r="F157" s="11"/>
      <c r="G157" s="11"/>
      <c r="H157" s="11"/>
      <c r="I157" s="11"/>
      <c r="J157" s="23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75" customHeight="1" x14ac:dyDescent="0.3">
      <c r="A158" s="11"/>
      <c r="B158" s="11"/>
      <c r="C158" s="11"/>
      <c r="D158" s="9"/>
      <c r="E158" s="11"/>
      <c r="F158" s="11"/>
      <c r="G158" s="11"/>
      <c r="H158" s="11"/>
      <c r="I158" s="11"/>
      <c r="J158" s="23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75" customHeight="1" x14ac:dyDescent="0.3">
      <c r="A159" s="11"/>
      <c r="B159" s="11"/>
      <c r="C159" s="11"/>
      <c r="D159" s="9"/>
      <c r="E159" s="11"/>
      <c r="F159" s="11"/>
      <c r="G159" s="11"/>
      <c r="H159" s="11"/>
      <c r="I159" s="11"/>
      <c r="J159" s="23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75" customHeight="1" x14ac:dyDescent="0.3">
      <c r="A160" s="11"/>
      <c r="B160" s="11"/>
      <c r="C160" s="11"/>
      <c r="D160" s="9"/>
      <c r="E160" s="11"/>
      <c r="F160" s="11"/>
      <c r="G160" s="11"/>
      <c r="H160" s="11"/>
      <c r="I160" s="11"/>
      <c r="J160" s="23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75" customHeight="1" x14ac:dyDescent="0.3">
      <c r="A161" s="11"/>
      <c r="B161" s="11"/>
      <c r="C161" s="11"/>
      <c r="D161" s="9"/>
      <c r="E161" s="11"/>
      <c r="F161" s="11"/>
      <c r="G161" s="11"/>
      <c r="H161" s="11"/>
      <c r="I161" s="11"/>
      <c r="J161" s="23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75" customHeight="1" x14ac:dyDescent="0.3">
      <c r="A162" s="11"/>
      <c r="B162" s="11"/>
      <c r="C162" s="11"/>
      <c r="D162" s="9"/>
      <c r="E162" s="11"/>
      <c r="F162" s="11"/>
      <c r="G162" s="11"/>
      <c r="H162" s="11"/>
      <c r="I162" s="11"/>
      <c r="J162" s="23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75" customHeight="1" x14ac:dyDescent="0.3">
      <c r="A163" s="11"/>
      <c r="B163" s="11"/>
      <c r="C163" s="11"/>
      <c r="D163" s="9"/>
      <c r="E163" s="11"/>
      <c r="F163" s="11"/>
      <c r="G163" s="11"/>
      <c r="H163" s="11"/>
      <c r="I163" s="11"/>
      <c r="J163" s="23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75" customHeight="1" x14ac:dyDescent="0.3">
      <c r="A164" s="11"/>
      <c r="B164" s="11"/>
      <c r="C164" s="11"/>
      <c r="D164" s="9"/>
      <c r="E164" s="11"/>
      <c r="F164" s="11"/>
      <c r="G164" s="11"/>
      <c r="H164" s="11"/>
      <c r="I164" s="11"/>
      <c r="J164" s="23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75" customHeight="1" x14ac:dyDescent="0.3">
      <c r="A165" s="11"/>
      <c r="B165" s="11"/>
      <c r="C165" s="11"/>
      <c r="D165" s="9"/>
      <c r="E165" s="11"/>
      <c r="F165" s="11"/>
      <c r="G165" s="11"/>
      <c r="H165" s="11"/>
      <c r="I165" s="11"/>
      <c r="J165" s="23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75" customHeight="1" x14ac:dyDescent="0.3">
      <c r="A166" s="11"/>
      <c r="B166" s="11"/>
      <c r="C166" s="11"/>
      <c r="D166" s="9"/>
      <c r="E166" s="11"/>
      <c r="F166" s="11"/>
      <c r="G166" s="11"/>
      <c r="H166" s="11"/>
      <c r="I166" s="11"/>
      <c r="J166" s="23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75" customHeight="1" x14ac:dyDescent="0.3">
      <c r="A167" s="11"/>
      <c r="B167" s="11"/>
      <c r="C167" s="11"/>
      <c r="D167" s="9"/>
      <c r="E167" s="11"/>
      <c r="F167" s="11"/>
      <c r="G167" s="11"/>
      <c r="H167" s="11"/>
      <c r="I167" s="11"/>
      <c r="J167" s="23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75" customHeight="1" x14ac:dyDescent="0.3">
      <c r="A168" s="11"/>
      <c r="B168" s="11"/>
      <c r="C168" s="11"/>
      <c r="D168" s="9"/>
      <c r="E168" s="11"/>
      <c r="F168" s="11"/>
      <c r="G168" s="11"/>
      <c r="H168" s="11"/>
      <c r="I168" s="11"/>
      <c r="J168" s="23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75" customHeight="1" x14ac:dyDescent="0.3">
      <c r="A169" s="11"/>
      <c r="B169" s="11"/>
      <c r="C169" s="11"/>
      <c r="D169" s="9"/>
      <c r="E169" s="11"/>
      <c r="F169" s="11"/>
      <c r="G169" s="11"/>
      <c r="H169" s="11"/>
      <c r="I169" s="11"/>
      <c r="J169" s="23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75" customHeight="1" x14ac:dyDescent="0.3">
      <c r="A170" s="11"/>
      <c r="B170" s="11"/>
      <c r="C170" s="11"/>
      <c r="D170" s="9"/>
      <c r="E170" s="11"/>
      <c r="F170" s="11"/>
      <c r="G170" s="11"/>
      <c r="H170" s="11"/>
      <c r="I170" s="11"/>
      <c r="J170" s="23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75" customHeight="1" x14ac:dyDescent="0.3">
      <c r="A171" s="11"/>
      <c r="B171" s="11"/>
      <c r="C171" s="11"/>
      <c r="D171" s="9"/>
      <c r="E171" s="11"/>
      <c r="F171" s="11"/>
      <c r="G171" s="11"/>
      <c r="H171" s="11"/>
      <c r="I171" s="11"/>
      <c r="J171" s="23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75" customHeight="1" x14ac:dyDescent="0.3">
      <c r="A172" s="11"/>
      <c r="B172" s="11"/>
      <c r="C172" s="11"/>
      <c r="D172" s="9"/>
      <c r="E172" s="11"/>
      <c r="F172" s="11"/>
      <c r="G172" s="11"/>
      <c r="H172" s="11"/>
      <c r="I172" s="11"/>
      <c r="J172" s="23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75" customHeight="1" x14ac:dyDescent="0.3">
      <c r="A173" s="11"/>
      <c r="B173" s="11"/>
      <c r="C173" s="11"/>
      <c r="D173" s="9"/>
      <c r="E173" s="11"/>
      <c r="F173" s="11"/>
      <c r="G173" s="11"/>
      <c r="H173" s="11"/>
      <c r="I173" s="11"/>
      <c r="J173" s="23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75" customHeight="1" x14ac:dyDescent="0.3">
      <c r="A174" s="11"/>
      <c r="B174" s="11"/>
      <c r="C174" s="11"/>
      <c r="D174" s="9"/>
      <c r="E174" s="11"/>
      <c r="F174" s="11"/>
      <c r="G174" s="11"/>
      <c r="H174" s="11"/>
      <c r="I174" s="11"/>
      <c r="J174" s="23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75" customHeight="1" x14ac:dyDescent="0.3">
      <c r="A175" s="11"/>
      <c r="B175" s="11"/>
      <c r="C175" s="11"/>
      <c r="D175" s="9"/>
      <c r="E175" s="11"/>
      <c r="F175" s="11"/>
      <c r="G175" s="11"/>
      <c r="H175" s="11"/>
      <c r="I175" s="11"/>
      <c r="J175" s="23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75" customHeight="1" x14ac:dyDescent="0.3">
      <c r="A176" s="11"/>
      <c r="B176" s="11"/>
      <c r="C176" s="11"/>
      <c r="D176" s="9"/>
      <c r="E176" s="11"/>
      <c r="F176" s="11"/>
      <c r="G176" s="11"/>
      <c r="H176" s="11"/>
      <c r="I176" s="11"/>
      <c r="J176" s="23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75" customHeight="1" x14ac:dyDescent="0.3">
      <c r="A177" s="11"/>
      <c r="B177" s="11"/>
      <c r="C177" s="11"/>
      <c r="D177" s="9"/>
      <c r="E177" s="11"/>
      <c r="F177" s="11"/>
      <c r="G177" s="11"/>
      <c r="H177" s="11"/>
      <c r="I177" s="11"/>
      <c r="J177" s="23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75" customHeight="1" x14ac:dyDescent="0.3">
      <c r="A178" s="11"/>
      <c r="B178" s="11"/>
      <c r="C178" s="11"/>
      <c r="D178" s="9"/>
      <c r="E178" s="11"/>
      <c r="F178" s="11"/>
      <c r="G178" s="11"/>
      <c r="H178" s="11"/>
      <c r="I178" s="11"/>
      <c r="J178" s="23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75" customHeight="1" x14ac:dyDescent="0.3">
      <c r="A179" s="11"/>
      <c r="B179" s="11"/>
      <c r="C179" s="11"/>
      <c r="D179" s="9"/>
      <c r="E179" s="11"/>
      <c r="F179" s="11"/>
      <c r="G179" s="11"/>
      <c r="H179" s="11"/>
      <c r="I179" s="11"/>
      <c r="J179" s="23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75" customHeight="1" x14ac:dyDescent="0.3">
      <c r="A180" s="11"/>
      <c r="B180" s="11"/>
      <c r="C180" s="11"/>
      <c r="D180" s="9"/>
      <c r="E180" s="11"/>
      <c r="F180" s="11"/>
      <c r="G180" s="11"/>
      <c r="H180" s="11"/>
      <c r="I180" s="11"/>
      <c r="J180" s="23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75" customHeight="1" x14ac:dyDescent="0.3">
      <c r="A181" s="11"/>
      <c r="B181" s="11"/>
      <c r="C181" s="11"/>
      <c r="D181" s="9"/>
      <c r="E181" s="11"/>
      <c r="F181" s="11"/>
      <c r="G181" s="11"/>
      <c r="H181" s="11"/>
      <c r="I181" s="11"/>
      <c r="J181" s="23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75" customHeight="1" x14ac:dyDescent="0.3">
      <c r="A182" s="11"/>
      <c r="B182" s="11"/>
      <c r="C182" s="11"/>
      <c r="D182" s="9"/>
      <c r="E182" s="11"/>
      <c r="F182" s="11"/>
      <c r="G182" s="11"/>
      <c r="H182" s="11"/>
      <c r="I182" s="11"/>
      <c r="J182" s="23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75" customHeight="1" x14ac:dyDescent="0.3">
      <c r="A183" s="11"/>
      <c r="B183" s="11"/>
      <c r="C183" s="11"/>
      <c r="D183" s="9"/>
      <c r="E183" s="11"/>
      <c r="F183" s="11"/>
      <c r="G183" s="11"/>
      <c r="H183" s="11"/>
      <c r="I183" s="11"/>
      <c r="J183" s="23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75" customHeight="1" x14ac:dyDescent="0.3">
      <c r="A184" s="11"/>
      <c r="B184" s="11"/>
      <c r="C184" s="11"/>
      <c r="D184" s="9"/>
      <c r="E184" s="11"/>
      <c r="F184" s="11"/>
      <c r="G184" s="11"/>
      <c r="H184" s="11"/>
      <c r="I184" s="11"/>
      <c r="J184" s="23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75" customHeight="1" x14ac:dyDescent="0.3">
      <c r="A185" s="11"/>
      <c r="B185" s="11"/>
      <c r="C185" s="11"/>
      <c r="D185" s="9"/>
      <c r="E185" s="11"/>
      <c r="F185" s="11"/>
      <c r="G185" s="11"/>
      <c r="H185" s="11"/>
      <c r="I185" s="11"/>
      <c r="J185" s="23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75" customHeight="1" x14ac:dyDescent="0.3">
      <c r="A186" s="11"/>
      <c r="B186" s="11"/>
      <c r="C186" s="11"/>
      <c r="D186" s="9"/>
      <c r="E186" s="11"/>
      <c r="F186" s="11"/>
      <c r="G186" s="11"/>
      <c r="H186" s="11"/>
      <c r="I186" s="11"/>
      <c r="J186" s="23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75" customHeight="1" x14ac:dyDescent="0.3">
      <c r="A187" s="11"/>
      <c r="B187" s="11"/>
      <c r="C187" s="11"/>
      <c r="D187" s="9"/>
      <c r="E187" s="11"/>
      <c r="F187" s="11"/>
      <c r="G187" s="11"/>
      <c r="H187" s="11"/>
      <c r="I187" s="11"/>
      <c r="J187" s="23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75" customHeight="1" x14ac:dyDescent="0.3">
      <c r="A188" s="11"/>
      <c r="B188" s="11"/>
      <c r="C188" s="11"/>
      <c r="D188" s="9"/>
      <c r="E188" s="11"/>
      <c r="F188" s="11"/>
      <c r="G188" s="11"/>
      <c r="H188" s="11"/>
      <c r="I188" s="11"/>
      <c r="J188" s="23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75" customHeight="1" x14ac:dyDescent="0.3">
      <c r="A189" s="11"/>
      <c r="B189" s="11"/>
      <c r="C189" s="11"/>
      <c r="D189" s="9"/>
      <c r="E189" s="11"/>
      <c r="F189" s="11"/>
      <c r="G189" s="11"/>
      <c r="H189" s="11"/>
      <c r="I189" s="11"/>
      <c r="J189" s="23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75" customHeight="1" x14ac:dyDescent="0.3">
      <c r="A190" s="11"/>
      <c r="B190" s="11"/>
      <c r="C190" s="11"/>
      <c r="D190" s="9"/>
      <c r="E190" s="11"/>
      <c r="F190" s="11"/>
      <c r="G190" s="11"/>
      <c r="H190" s="11"/>
      <c r="I190" s="11"/>
      <c r="J190" s="23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75" customHeight="1" x14ac:dyDescent="0.3">
      <c r="A191" s="11"/>
      <c r="B191" s="11"/>
      <c r="C191" s="11"/>
      <c r="D191" s="9"/>
      <c r="E191" s="11"/>
      <c r="F191" s="11"/>
      <c r="G191" s="11"/>
      <c r="H191" s="11"/>
      <c r="I191" s="11"/>
      <c r="J191" s="23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75" customHeight="1" x14ac:dyDescent="0.3">
      <c r="A192" s="11"/>
      <c r="B192" s="11"/>
      <c r="C192" s="11"/>
      <c r="D192" s="9"/>
      <c r="E192" s="11"/>
      <c r="F192" s="11"/>
      <c r="G192" s="11"/>
      <c r="H192" s="11"/>
      <c r="I192" s="11"/>
      <c r="J192" s="23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75" customHeight="1" x14ac:dyDescent="0.3">
      <c r="A193" s="11"/>
      <c r="B193" s="11"/>
      <c r="C193" s="11"/>
      <c r="D193" s="9"/>
      <c r="E193" s="11"/>
      <c r="F193" s="11"/>
      <c r="G193" s="11"/>
      <c r="H193" s="11"/>
      <c r="I193" s="11"/>
      <c r="J193" s="23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75" customHeight="1" x14ac:dyDescent="0.3">
      <c r="A194" s="11"/>
      <c r="B194" s="11"/>
      <c r="C194" s="11"/>
      <c r="D194" s="9"/>
      <c r="E194" s="11"/>
      <c r="F194" s="11"/>
      <c r="G194" s="11"/>
      <c r="H194" s="11"/>
      <c r="I194" s="11"/>
      <c r="J194" s="23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75" customHeight="1" x14ac:dyDescent="0.3">
      <c r="A195" s="11"/>
      <c r="B195" s="11"/>
      <c r="C195" s="11"/>
      <c r="D195" s="9"/>
      <c r="E195" s="11"/>
      <c r="F195" s="11"/>
      <c r="G195" s="11"/>
      <c r="H195" s="11"/>
      <c r="I195" s="11"/>
      <c r="J195" s="23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75" customHeight="1" x14ac:dyDescent="0.3">
      <c r="A196" s="11"/>
      <c r="B196" s="11"/>
      <c r="C196" s="11"/>
      <c r="D196" s="9"/>
      <c r="E196" s="11"/>
      <c r="F196" s="11"/>
      <c r="G196" s="11"/>
      <c r="H196" s="11"/>
      <c r="I196" s="11"/>
      <c r="J196" s="23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75" customHeight="1" x14ac:dyDescent="0.3">
      <c r="A197" s="11"/>
      <c r="B197" s="11"/>
      <c r="C197" s="11"/>
      <c r="D197" s="9"/>
      <c r="E197" s="11"/>
      <c r="F197" s="11"/>
      <c r="G197" s="11"/>
      <c r="H197" s="11"/>
      <c r="I197" s="11"/>
      <c r="J197" s="23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75" customHeight="1" x14ac:dyDescent="0.3">
      <c r="A198" s="11"/>
      <c r="B198" s="11"/>
      <c r="C198" s="11"/>
      <c r="D198" s="9"/>
      <c r="E198" s="11"/>
      <c r="F198" s="11"/>
      <c r="G198" s="11"/>
      <c r="H198" s="11"/>
      <c r="I198" s="11"/>
      <c r="J198" s="23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75" customHeight="1" x14ac:dyDescent="0.3">
      <c r="A199" s="11"/>
      <c r="B199" s="11"/>
      <c r="C199" s="11"/>
      <c r="D199" s="9"/>
      <c r="E199" s="11"/>
      <c r="F199" s="11"/>
      <c r="G199" s="11"/>
      <c r="H199" s="11"/>
      <c r="I199" s="11"/>
      <c r="J199" s="23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75" customHeight="1" x14ac:dyDescent="0.3">
      <c r="A200" s="11"/>
      <c r="B200" s="11"/>
      <c r="C200" s="11"/>
      <c r="D200" s="9"/>
      <c r="E200" s="11"/>
      <c r="F200" s="11"/>
      <c r="G200" s="11"/>
      <c r="H200" s="11"/>
      <c r="I200" s="11"/>
      <c r="J200" s="23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75" customHeight="1" x14ac:dyDescent="0.3">
      <c r="A201" s="11"/>
      <c r="B201" s="11"/>
      <c r="C201" s="11"/>
      <c r="D201" s="9"/>
      <c r="E201" s="11"/>
      <c r="F201" s="11"/>
      <c r="G201" s="11"/>
      <c r="H201" s="11"/>
      <c r="I201" s="11"/>
      <c r="J201" s="23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75" customHeight="1" x14ac:dyDescent="0.3">
      <c r="A202" s="11"/>
      <c r="B202" s="11"/>
      <c r="C202" s="11"/>
      <c r="D202" s="9"/>
      <c r="E202" s="11"/>
      <c r="F202" s="11"/>
      <c r="G202" s="11"/>
      <c r="H202" s="11"/>
      <c r="I202" s="11"/>
      <c r="J202" s="23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75" customHeight="1" x14ac:dyDescent="0.3">
      <c r="A203" s="11"/>
      <c r="B203" s="11"/>
      <c r="C203" s="11"/>
      <c r="D203" s="9"/>
      <c r="E203" s="11"/>
      <c r="F203" s="11"/>
      <c r="G203" s="11"/>
      <c r="H203" s="11"/>
      <c r="I203" s="11"/>
      <c r="J203" s="23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75" customHeight="1" x14ac:dyDescent="0.3">
      <c r="A204" s="11"/>
      <c r="B204" s="11"/>
      <c r="C204" s="11"/>
      <c r="D204" s="9"/>
      <c r="E204" s="11"/>
      <c r="F204" s="11"/>
      <c r="G204" s="11"/>
      <c r="H204" s="11"/>
      <c r="I204" s="11"/>
      <c r="J204" s="23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75" customHeight="1" x14ac:dyDescent="0.3">
      <c r="A205" s="11"/>
      <c r="B205" s="11"/>
      <c r="C205" s="11"/>
      <c r="D205" s="9"/>
      <c r="E205" s="11"/>
      <c r="F205" s="11"/>
      <c r="G205" s="11"/>
      <c r="H205" s="11"/>
      <c r="I205" s="11"/>
      <c r="J205" s="23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75" customHeight="1" x14ac:dyDescent="0.3">
      <c r="A206" s="11"/>
      <c r="B206" s="11"/>
      <c r="C206" s="11"/>
      <c r="D206" s="9"/>
      <c r="E206" s="11"/>
      <c r="F206" s="11"/>
      <c r="G206" s="11"/>
      <c r="H206" s="11"/>
      <c r="I206" s="11"/>
      <c r="J206" s="23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75" customHeight="1" x14ac:dyDescent="0.3">
      <c r="A207" s="11"/>
      <c r="B207" s="11"/>
      <c r="C207" s="11"/>
      <c r="D207" s="9"/>
      <c r="E207" s="11"/>
      <c r="F207" s="11"/>
      <c r="G207" s="11"/>
      <c r="H207" s="11"/>
      <c r="I207" s="11"/>
      <c r="J207" s="23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75" customHeight="1" x14ac:dyDescent="0.3">
      <c r="A208" s="11"/>
      <c r="B208" s="11"/>
      <c r="C208" s="11"/>
      <c r="D208" s="9"/>
      <c r="E208" s="11"/>
      <c r="F208" s="11"/>
      <c r="G208" s="11"/>
      <c r="H208" s="11"/>
      <c r="I208" s="11"/>
      <c r="J208" s="23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75" customHeight="1" x14ac:dyDescent="0.3">
      <c r="A209" s="11"/>
      <c r="B209" s="11"/>
      <c r="C209" s="11"/>
      <c r="D209" s="9"/>
      <c r="E209" s="11"/>
      <c r="F209" s="11"/>
      <c r="G209" s="11"/>
      <c r="H209" s="11"/>
      <c r="I209" s="11"/>
      <c r="J209" s="23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75" customHeight="1" x14ac:dyDescent="0.3">
      <c r="A210" s="11"/>
      <c r="B210" s="11"/>
      <c r="C210" s="11"/>
      <c r="D210" s="9"/>
      <c r="E210" s="11"/>
      <c r="F210" s="11"/>
      <c r="G210" s="11"/>
      <c r="H210" s="11"/>
      <c r="I210" s="11"/>
      <c r="J210" s="23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75" customHeight="1" x14ac:dyDescent="0.3">
      <c r="A211" s="11"/>
      <c r="B211" s="11"/>
      <c r="C211" s="11"/>
      <c r="D211" s="9"/>
      <c r="E211" s="11"/>
      <c r="F211" s="11"/>
      <c r="G211" s="11"/>
      <c r="H211" s="11"/>
      <c r="I211" s="11"/>
      <c r="J211" s="23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75" customHeight="1" x14ac:dyDescent="0.3">
      <c r="A212" s="11"/>
      <c r="B212" s="11"/>
      <c r="C212" s="11"/>
      <c r="D212" s="9"/>
      <c r="E212" s="11"/>
      <c r="F212" s="11"/>
      <c r="G212" s="11"/>
      <c r="H212" s="11"/>
      <c r="I212" s="11"/>
      <c r="J212" s="23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75" customHeight="1" x14ac:dyDescent="0.3">
      <c r="A213" s="11"/>
      <c r="B213" s="11"/>
      <c r="C213" s="11"/>
      <c r="D213" s="9"/>
      <c r="E213" s="11"/>
      <c r="F213" s="11"/>
      <c r="G213" s="11"/>
      <c r="H213" s="11"/>
      <c r="I213" s="11"/>
      <c r="J213" s="23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75" customHeight="1" x14ac:dyDescent="0.3">
      <c r="A214" s="11"/>
      <c r="B214" s="11"/>
      <c r="C214" s="11"/>
      <c r="D214" s="9"/>
      <c r="E214" s="11"/>
      <c r="F214" s="11"/>
      <c r="G214" s="11"/>
      <c r="H214" s="11"/>
      <c r="I214" s="11"/>
      <c r="J214" s="23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75" customHeight="1" x14ac:dyDescent="0.3">
      <c r="A215" s="11"/>
      <c r="B215" s="11"/>
      <c r="C215" s="11"/>
      <c r="D215" s="9"/>
      <c r="E215" s="11"/>
      <c r="F215" s="11"/>
      <c r="G215" s="11"/>
      <c r="H215" s="11"/>
      <c r="I215" s="11"/>
      <c r="J215" s="23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75" customHeight="1" x14ac:dyDescent="0.3">
      <c r="A216" s="11"/>
      <c r="B216" s="11"/>
      <c r="C216" s="11"/>
      <c r="D216" s="9"/>
      <c r="E216" s="11"/>
      <c r="F216" s="11"/>
      <c r="G216" s="11"/>
      <c r="H216" s="11"/>
      <c r="I216" s="11"/>
      <c r="J216" s="23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75" customHeight="1" x14ac:dyDescent="0.3">
      <c r="A217" s="11"/>
      <c r="B217" s="11"/>
      <c r="C217" s="11"/>
      <c r="D217" s="9"/>
      <c r="E217" s="11"/>
      <c r="F217" s="11"/>
      <c r="G217" s="11"/>
      <c r="H217" s="11"/>
      <c r="I217" s="11"/>
      <c r="J217" s="23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75" customHeight="1" x14ac:dyDescent="0.3">
      <c r="A218" s="11"/>
      <c r="B218" s="11"/>
      <c r="C218" s="11"/>
      <c r="D218" s="9"/>
      <c r="E218" s="11"/>
      <c r="F218" s="11"/>
      <c r="G218" s="11"/>
      <c r="H218" s="11"/>
      <c r="I218" s="11"/>
      <c r="J218" s="23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75" customHeight="1" x14ac:dyDescent="0.3">
      <c r="A219" s="11"/>
      <c r="B219" s="11"/>
      <c r="C219" s="11"/>
      <c r="D219" s="9"/>
      <c r="E219" s="11"/>
      <c r="F219" s="11"/>
      <c r="G219" s="11"/>
      <c r="H219" s="11"/>
      <c r="I219" s="11"/>
      <c r="J219" s="23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75" customHeight="1" x14ac:dyDescent="0.3">
      <c r="A220" s="11"/>
      <c r="B220" s="11"/>
      <c r="C220" s="11"/>
      <c r="D220" s="9"/>
      <c r="E220" s="11"/>
      <c r="F220" s="11"/>
      <c r="G220" s="11"/>
      <c r="H220" s="11"/>
      <c r="I220" s="11"/>
      <c r="J220" s="23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75" customHeight="1" x14ac:dyDescent="0.3">
      <c r="A221" s="11"/>
      <c r="B221" s="11"/>
      <c r="C221" s="11"/>
      <c r="D221" s="9"/>
      <c r="E221" s="11"/>
      <c r="F221" s="11"/>
      <c r="G221" s="11"/>
      <c r="H221" s="11"/>
      <c r="I221" s="11"/>
      <c r="J221" s="23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75" customHeight="1" x14ac:dyDescent="0.3">
      <c r="A222" s="11"/>
      <c r="B222" s="11"/>
      <c r="C222" s="11"/>
      <c r="D222" s="9"/>
      <c r="E222" s="11"/>
      <c r="F222" s="11"/>
      <c r="G222" s="11"/>
      <c r="H222" s="11"/>
      <c r="I222" s="11"/>
      <c r="J222" s="23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75" customHeight="1" x14ac:dyDescent="0.3">
      <c r="A223" s="11"/>
      <c r="B223" s="11"/>
      <c r="C223" s="11"/>
      <c r="D223" s="9"/>
      <c r="E223" s="11"/>
      <c r="F223" s="11"/>
      <c r="G223" s="11"/>
      <c r="H223" s="11"/>
      <c r="I223" s="11"/>
      <c r="J223" s="23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75" customHeight="1" x14ac:dyDescent="0.3">
      <c r="A224" s="11"/>
      <c r="B224" s="11"/>
      <c r="C224" s="11"/>
      <c r="D224" s="9"/>
      <c r="E224" s="11"/>
      <c r="F224" s="11"/>
      <c r="G224" s="11"/>
      <c r="H224" s="11"/>
      <c r="I224" s="11"/>
      <c r="J224" s="23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75" customHeight="1" x14ac:dyDescent="0.3">
      <c r="A225" s="11"/>
      <c r="B225" s="11"/>
      <c r="C225" s="11"/>
      <c r="D225" s="9"/>
      <c r="E225" s="11"/>
      <c r="F225" s="11"/>
      <c r="G225" s="11"/>
      <c r="H225" s="11"/>
      <c r="I225" s="11"/>
      <c r="J225" s="23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75" customHeight="1" x14ac:dyDescent="0.3">
      <c r="A226" s="11"/>
      <c r="B226" s="11"/>
      <c r="C226" s="11"/>
      <c r="D226" s="9"/>
      <c r="E226" s="11"/>
      <c r="F226" s="11"/>
      <c r="G226" s="11"/>
      <c r="H226" s="11"/>
      <c r="I226" s="11"/>
      <c r="J226" s="23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75" customHeight="1" x14ac:dyDescent="0.3">
      <c r="A227" s="11"/>
      <c r="B227" s="11"/>
      <c r="C227" s="11"/>
      <c r="D227" s="9"/>
      <c r="E227" s="11"/>
      <c r="F227" s="11"/>
      <c r="G227" s="11"/>
      <c r="H227" s="11"/>
      <c r="I227" s="11"/>
      <c r="J227" s="23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75" customHeight="1" x14ac:dyDescent="0.3">
      <c r="A228" s="11"/>
      <c r="B228" s="11"/>
      <c r="C228" s="11"/>
      <c r="D228" s="9"/>
      <c r="E228" s="11"/>
      <c r="F228" s="11"/>
      <c r="G228" s="11"/>
      <c r="H228" s="11"/>
      <c r="I228" s="11"/>
      <c r="J228" s="23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75" customHeight="1" x14ac:dyDescent="0.3">
      <c r="A229" s="11"/>
      <c r="B229" s="11"/>
      <c r="C229" s="11"/>
      <c r="D229" s="9"/>
      <c r="E229" s="11"/>
      <c r="F229" s="11"/>
      <c r="G229" s="11"/>
      <c r="H229" s="11"/>
      <c r="I229" s="11"/>
      <c r="J229" s="23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75" customHeight="1" x14ac:dyDescent="0.3">
      <c r="A230" s="11"/>
      <c r="B230" s="11"/>
      <c r="C230" s="11"/>
      <c r="D230" s="9"/>
      <c r="E230" s="11"/>
      <c r="F230" s="11"/>
      <c r="G230" s="11"/>
      <c r="H230" s="11"/>
      <c r="I230" s="11"/>
      <c r="J230" s="23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75" customHeight="1" x14ac:dyDescent="0.3">
      <c r="A231" s="11"/>
      <c r="B231" s="11"/>
      <c r="C231" s="11"/>
      <c r="D231" s="9"/>
      <c r="E231" s="11"/>
      <c r="F231" s="11"/>
      <c r="G231" s="11"/>
      <c r="H231" s="11"/>
      <c r="I231" s="11"/>
      <c r="J231" s="23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75" customHeight="1" x14ac:dyDescent="0.3">
      <c r="A232" s="11"/>
      <c r="B232" s="11"/>
      <c r="C232" s="11"/>
      <c r="D232" s="9"/>
      <c r="E232" s="11"/>
      <c r="F232" s="11"/>
      <c r="G232" s="11"/>
      <c r="H232" s="11"/>
      <c r="I232" s="11"/>
      <c r="J232" s="23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75" customHeight="1" x14ac:dyDescent="0.3">
      <c r="A233" s="11"/>
      <c r="B233" s="11"/>
      <c r="C233" s="11"/>
      <c r="D233" s="9"/>
      <c r="E233" s="11"/>
      <c r="F233" s="11"/>
      <c r="G233" s="11"/>
      <c r="H233" s="11"/>
      <c r="I233" s="11"/>
      <c r="J233" s="23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conditionalFormatting sqref="C1 C32:C1013">
    <cfRule type="cellIs" dxfId="22" priority="7" operator="equal">
      <formula>"In-progress"</formula>
    </cfRule>
    <cfRule type="cellIs" dxfId="21" priority="8" operator="equal">
      <formula>"Open"</formula>
    </cfRule>
    <cfRule type="cellIs" dxfId="20" priority="9" operator="equal">
      <formula>"Completed"</formula>
    </cfRule>
  </conditionalFormatting>
  <conditionalFormatting sqref="H1 H29:H1013">
    <cfRule type="cellIs" dxfId="19" priority="10" operator="equal">
      <formula>"Yes"</formula>
    </cfRule>
  </conditionalFormatting>
  <conditionalFormatting sqref="H29:H222">
    <cfRule type="cellIs" dxfId="18" priority="11" stopIfTrue="1" operator="equal">
      <formula>"In Progress"</formula>
    </cfRule>
    <cfRule type="cellIs" dxfId="17" priority="12" stopIfTrue="1" operator="equal">
      <formula>"Testing"</formula>
    </cfRule>
    <cfRule type="cellIs" dxfId="16" priority="13" stopIfTrue="1" operator="equal">
      <formula>"Completed"</formula>
    </cfRule>
  </conditionalFormatting>
  <conditionalFormatting sqref="C2:C30">
    <cfRule type="cellIs" dxfId="11" priority="4" operator="equal">
      <formula>"In-progress"</formula>
    </cfRule>
  </conditionalFormatting>
  <conditionalFormatting sqref="C2:C30">
    <cfRule type="cellIs" dxfId="9" priority="5" operator="equal">
      <formula>"Open"</formula>
    </cfRule>
  </conditionalFormatting>
  <conditionalFormatting sqref="C2:C30">
    <cfRule type="cellIs" dxfId="7" priority="6" operator="equal">
      <formula>"Completed"</formula>
    </cfRule>
  </conditionalFormatting>
  <conditionalFormatting sqref="C31">
    <cfRule type="cellIs" dxfId="5" priority="1" operator="equal">
      <formula>"In-progress"</formula>
    </cfRule>
  </conditionalFormatting>
  <conditionalFormatting sqref="C31">
    <cfRule type="cellIs" dxfId="3" priority="2" operator="equal">
      <formula>"Open"</formula>
    </cfRule>
  </conditionalFormatting>
  <conditionalFormatting sqref="C31">
    <cfRule type="cellIs" dxfId="1" priority="3" operator="equal">
      <formula>"Completed"</formula>
    </cfRule>
  </conditionalFormatting>
  <dataValidations count="2">
    <dataValidation type="list" allowBlank="1" showErrorMessage="1" sqref="H29:H222">
      <formula1>"Yes,No"</formula1>
    </dataValidation>
    <dataValidation type="list" allowBlank="1" showErrorMessage="1" sqref="C2:C222">
      <formula1>"Open,In-progress,Cancelled,Completed"</formula1>
    </dataValidation>
  </dataValidation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2.6640625" defaultRowHeight="15" customHeight="1" x14ac:dyDescent="0.25"/>
  <cols>
    <col min="1" max="1" width="1.33203125" customWidth="1"/>
    <col min="2" max="2" width="18.109375" customWidth="1"/>
    <col min="3" max="3" width="8" customWidth="1"/>
    <col min="4" max="4" width="14.21875" customWidth="1"/>
    <col min="5" max="8" width="8" customWidth="1"/>
    <col min="9" max="9" width="1.88671875" customWidth="1"/>
    <col min="10" max="10" width="8" customWidth="1"/>
    <col min="11" max="11" width="7.6640625" customWidth="1"/>
  </cols>
  <sheetData>
    <row r="1" spans="1:11" ht="12.75" customHeight="1" x14ac:dyDescent="0.25">
      <c r="A1" s="24"/>
      <c r="B1" s="25" t="s">
        <v>50</v>
      </c>
      <c r="C1" s="26"/>
      <c r="D1" s="24"/>
      <c r="E1" s="24"/>
      <c r="F1" s="24"/>
      <c r="G1" s="24"/>
      <c r="H1" s="24"/>
      <c r="I1" s="24"/>
      <c r="J1" s="27" t="s">
        <v>51</v>
      </c>
      <c r="K1" s="24"/>
    </row>
    <row r="2" spans="1:11" ht="12.75" customHeight="1" x14ac:dyDescent="0.25">
      <c r="A2" s="24"/>
      <c r="B2" s="28" t="s">
        <v>52</v>
      </c>
      <c r="C2" s="29">
        <f>COUNTIF('Traceability Matrix'!B:B,"&gt; ")-1</f>
        <v>30</v>
      </c>
      <c r="D2" s="24"/>
      <c r="E2" s="24"/>
      <c r="F2" s="24"/>
      <c r="G2" s="24"/>
      <c r="H2" s="24"/>
      <c r="I2" s="24"/>
      <c r="J2" s="24"/>
      <c r="K2" s="24"/>
    </row>
    <row r="3" spans="1:11" ht="12.75" customHeight="1" x14ac:dyDescent="0.25">
      <c r="A3" s="24"/>
      <c r="B3" s="30" t="s">
        <v>53</v>
      </c>
      <c r="C3" s="29">
        <f>COUNTIF('Traceability Matrix'!E:E,"&gt; ")-1-COUNTIF('Traceability Matrix'!E:E,"tbd")-COUNTIF('Traceability Matrix'!E:E,"to be done")--COUNTIF('Traceability Matrix'!E:E,"on hold")-COUNTIF('Traceability Matrix'!E:E,"hold")-COUNTIF('Traceability Matrix'!E:E,".")--COUNTIF('Traceability Matrix'!E:E,"-")-COUNTIF('Traceability Matrix'!E:E,"ok")--COUNTIF('Traceability Matrix'!E:E,"yes")--COUNTIF('Traceability Matrix'!E:E,"no")</f>
        <v>28</v>
      </c>
      <c r="D3" s="31"/>
      <c r="E3" s="24"/>
      <c r="F3" s="24"/>
      <c r="G3" s="24"/>
      <c r="H3" s="24"/>
      <c r="I3" s="24"/>
      <c r="J3" s="24"/>
      <c r="K3" s="24"/>
    </row>
    <row r="4" spans="1:11" ht="12.75" customHeight="1" x14ac:dyDescent="0.25">
      <c r="A4" s="24"/>
      <c r="B4" s="30" t="s">
        <v>54</v>
      </c>
      <c r="C4" s="29">
        <f>COUNTIF('Traceability Matrix'!F:F,"&gt; ")-1-COUNTIF('Traceability Matrix'!F:F,"tbd")-COUNTIF('Traceability Matrix'!F:F,"to be done")--COUNTIF('Traceability Matrix'!F:F,"on hold")-COUNTIF('Traceability Matrix'!F:F,"hold")-COUNTIF('Traceability Matrix'!F:F,".")--COUNTIF('Traceability Matrix'!F:F,"-")-COUNTIF('Traceability Matrix'!F:F,"ok")--COUNTIF('Traceability Matrix'!F:F,"yes")--COUNTIF('Traceability Matrix'!F:F,"no")</f>
        <v>6</v>
      </c>
      <c r="D4" s="31" t="str">
        <f>IF(C4&gt;C$3,"Fill design details!","")</f>
        <v/>
      </c>
      <c r="E4" s="24"/>
      <c r="F4" s="24"/>
      <c r="G4" s="24"/>
      <c r="H4" s="24"/>
      <c r="I4" s="24"/>
      <c r="J4" s="24"/>
      <c r="K4" s="24"/>
    </row>
    <row r="5" spans="1:11" ht="12.75" customHeight="1" x14ac:dyDescent="0.25">
      <c r="A5" s="24"/>
      <c r="B5" s="30" t="s">
        <v>55</v>
      </c>
      <c r="C5" s="29">
        <f>COUNTIF('Traceability Matrix'!G:G,"&gt; ")-1-COUNTIF('Traceability Matrix'!G:G,"tbd")-COUNTIF('Traceability Matrix'!G:G,"to be done")--COUNTIF('Traceability Matrix'!G:G,"on hold")-COUNTIF('Traceability Matrix'!G:G,"hold")-COUNTIF('Traceability Matrix'!G:G,".")--COUNTIF('Traceability Matrix'!G:G,"-")-COUNTIF('Traceability Matrix'!G:G,"ok")--COUNTIF('Traceability Matrix'!G:G,"yes")--COUNTIF('Traceability Matrix'!G:G,"no")</f>
        <v>6</v>
      </c>
      <c r="D5" s="31"/>
      <c r="E5" s="24"/>
      <c r="F5" s="24"/>
      <c r="G5" s="24"/>
      <c r="H5" s="24"/>
      <c r="I5" s="24"/>
      <c r="J5" s="24"/>
      <c r="K5" s="24"/>
    </row>
    <row r="6" spans="1:11" ht="12.75" customHeight="1" x14ac:dyDescent="0.25">
      <c r="A6" s="24"/>
      <c r="B6" s="32" t="s">
        <v>56</v>
      </c>
      <c r="C6" s="33">
        <f>COUNTIF('Traceability Matrix'!H:H,"Yes")</f>
        <v>24</v>
      </c>
      <c r="D6" s="31" t="str">
        <f t="shared" ref="D6:D7" si="0">IF(C6&gt;C$3,"Fill design details!","")</f>
        <v/>
      </c>
      <c r="E6" s="24"/>
      <c r="F6" s="24"/>
      <c r="G6" s="24"/>
      <c r="H6" s="24"/>
      <c r="I6" s="24"/>
      <c r="J6" s="24"/>
      <c r="K6" s="24"/>
    </row>
    <row r="7" spans="1:11" ht="12.75" customHeight="1" x14ac:dyDescent="0.25">
      <c r="A7" s="24"/>
      <c r="B7" s="30" t="s">
        <v>57</v>
      </c>
      <c r="C7" s="34">
        <f>COUNTIF('Traceability Matrix'!I:I,"&gt; ")-1-COUNTIF('Traceability Matrix'!I:I,"tbd")-COUNTIF('Traceability Matrix'!I:I,"to be done")--COUNTIF('Traceability Matrix'!I:I,"on hold")-COUNTIF('Traceability Matrix'!I:I,"hold")-COUNTIF('Traceability Matrix'!I:I,".")--COUNTIF('Traceability Matrix'!I:I,"-")-COUNTIF('Traceability Matrix'!I:I,"ok")--COUNTIF('Traceability Matrix'!I:I,"yes")--COUNTIF('Traceability Matrix'!I:I,"no")</f>
        <v>24</v>
      </c>
      <c r="D7" s="31" t="str">
        <f t="shared" si="0"/>
        <v/>
      </c>
      <c r="E7" s="24"/>
      <c r="F7" s="24"/>
      <c r="G7" s="24"/>
      <c r="H7" s="24"/>
      <c r="I7" s="24"/>
      <c r="J7" s="24"/>
      <c r="K7" s="24"/>
    </row>
    <row r="8" spans="1:11" ht="12.75" customHeight="1" x14ac:dyDescent="0.25">
      <c r="A8" s="24"/>
      <c r="B8" s="30" t="s">
        <v>58</v>
      </c>
      <c r="C8" s="34">
        <f>COUNTIF('Traceability Matrix'!K:K,"&gt; ")-1-COUNTIF('Traceability Matrix'!K:K,"tbd")-COUNTIF('Traceability Matrix'!K:K,"to be done")--COUNTIF('Traceability Matrix'!K:K,"on hold")-COUNTIF('Traceability Matrix'!K:K,"hold")-COUNTIF('Traceability Matrix'!K:K,".")--COUNTIF('Traceability Matrix'!K:K,"-")-COUNTIF('Traceability Matrix'!K:K,"ok")--COUNTIF('Traceability Matrix'!K:K,"yes")--COUNTIF('Traceability Matrix'!K:K,"no")</f>
        <v>6</v>
      </c>
      <c r="D8" s="31"/>
      <c r="E8" s="24"/>
      <c r="F8" s="24"/>
      <c r="G8" s="24"/>
      <c r="H8" s="24"/>
      <c r="I8" s="24"/>
      <c r="J8" s="24"/>
      <c r="K8" s="24"/>
    </row>
    <row r="9" spans="1:11" ht="12.75" customHeight="1" x14ac:dyDescent="0.25">
      <c r="A9" s="24"/>
      <c r="B9" s="35"/>
      <c r="C9" s="26"/>
      <c r="D9" s="24"/>
      <c r="E9" s="24"/>
      <c r="F9" s="24"/>
      <c r="G9" s="24"/>
      <c r="H9" s="24"/>
      <c r="I9" s="24"/>
      <c r="J9" s="24"/>
      <c r="K9" s="24"/>
    </row>
    <row r="10" spans="1:11" ht="12.75" customHeight="1" x14ac:dyDescent="0.25">
      <c r="A10" s="24"/>
      <c r="B10" s="36" t="s">
        <v>38</v>
      </c>
      <c r="C10" s="37">
        <f>COUNTIF('Traceability Matrix'!C:C,B10)</f>
        <v>24</v>
      </c>
      <c r="D10" s="24"/>
      <c r="E10" s="24"/>
      <c r="F10" s="24"/>
      <c r="G10" s="24"/>
      <c r="H10" s="24"/>
      <c r="I10" s="24"/>
      <c r="J10" s="24"/>
      <c r="K10" s="24"/>
    </row>
    <row r="11" spans="1:11" ht="12.75" customHeight="1" x14ac:dyDescent="0.25">
      <c r="A11" s="24"/>
      <c r="B11" s="38" t="s">
        <v>59</v>
      </c>
      <c r="C11" s="37">
        <f>COUNTIF('Traceability Matrix'!C:C,B11)</f>
        <v>0</v>
      </c>
      <c r="D11" s="24"/>
      <c r="E11" s="24"/>
      <c r="F11" s="24"/>
      <c r="G11" s="24"/>
      <c r="H11" s="24"/>
      <c r="I11" s="24"/>
      <c r="J11" s="24"/>
      <c r="K11" s="24"/>
    </row>
    <row r="12" spans="1:11" ht="12.75" customHeight="1" x14ac:dyDescent="0.25">
      <c r="A12" s="24"/>
      <c r="B12" s="38" t="s">
        <v>45</v>
      </c>
      <c r="C12" s="37">
        <f>COUNTIF('Traceability Matrix'!C:C,B12)</f>
        <v>6</v>
      </c>
      <c r="D12" s="24"/>
      <c r="E12" s="24"/>
      <c r="F12" s="24"/>
      <c r="G12" s="24"/>
      <c r="H12" s="24"/>
      <c r="I12" s="24"/>
      <c r="J12" s="24"/>
      <c r="K12" s="24"/>
    </row>
    <row r="13" spans="1:11" ht="12.75" customHeight="1" x14ac:dyDescent="0.25">
      <c r="A13" s="24"/>
      <c r="B13" s="38" t="s">
        <v>60</v>
      </c>
      <c r="C13" s="37">
        <f>COUNTIF('Traceability Matrix'!C:C,B13)</f>
        <v>0</v>
      </c>
      <c r="D13" s="24"/>
      <c r="E13" s="24"/>
      <c r="F13" s="24"/>
      <c r="G13" s="24"/>
      <c r="H13" s="24"/>
      <c r="I13" s="24"/>
      <c r="J13" s="24"/>
      <c r="K13" s="24"/>
    </row>
    <row r="14" spans="1:11" ht="12.75" customHeight="1" x14ac:dyDescent="0.25">
      <c r="A14" s="24"/>
      <c r="B14" s="24"/>
      <c r="C14" s="26"/>
      <c r="D14" s="24"/>
      <c r="E14" s="24"/>
      <c r="F14" s="24"/>
      <c r="G14" s="24"/>
      <c r="H14" s="24"/>
      <c r="I14" s="24"/>
      <c r="J14" s="24"/>
      <c r="K14" s="24"/>
    </row>
    <row r="15" spans="1:11" ht="12.75" customHeight="1" x14ac:dyDescent="0.25">
      <c r="A15" s="24"/>
      <c r="B15" s="24"/>
      <c r="C15" s="26"/>
      <c r="D15" s="24"/>
      <c r="E15" s="24"/>
      <c r="F15" s="24"/>
      <c r="G15" s="24"/>
      <c r="H15" s="24"/>
      <c r="I15" s="24"/>
      <c r="J15" s="24"/>
      <c r="K15" s="24"/>
    </row>
    <row r="16" spans="1:11" ht="12.75" customHeight="1" x14ac:dyDescent="0.25">
      <c r="A16" s="24"/>
      <c r="B16" s="24"/>
      <c r="C16" s="26"/>
      <c r="D16" s="24"/>
      <c r="E16" s="24"/>
      <c r="F16" s="24"/>
      <c r="G16" s="24"/>
      <c r="H16" s="24"/>
      <c r="I16" s="24"/>
      <c r="J16" s="24"/>
      <c r="K16" s="24"/>
    </row>
    <row r="17" spans="1:11" ht="12.75" customHeight="1" x14ac:dyDescent="0.25">
      <c r="A17" s="24"/>
      <c r="B17" s="24"/>
      <c r="C17" s="26"/>
      <c r="D17" s="24"/>
      <c r="E17" s="24"/>
      <c r="F17" s="24"/>
      <c r="G17" s="24"/>
      <c r="H17" s="24"/>
      <c r="I17" s="24"/>
      <c r="J17" s="24"/>
      <c r="K17" s="24"/>
    </row>
    <row r="18" spans="1:11" ht="12.75" customHeight="1" x14ac:dyDescent="0.25">
      <c r="A18" s="24"/>
      <c r="B18" s="24"/>
      <c r="C18" s="26"/>
      <c r="D18" s="24"/>
      <c r="E18" s="24"/>
      <c r="F18" s="24"/>
      <c r="G18" s="24"/>
      <c r="H18" s="24"/>
      <c r="I18" s="24"/>
      <c r="J18" s="24"/>
      <c r="K18" s="24"/>
    </row>
    <row r="19" spans="1:11" ht="12.75" customHeight="1" x14ac:dyDescent="0.25">
      <c r="A19" s="24"/>
      <c r="B19" s="24"/>
      <c r="C19" s="26"/>
      <c r="D19" s="24"/>
      <c r="E19" s="24"/>
      <c r="F19" s="24"/>
      <c r="G19" s="24"/>
      <c r="H19" s="24"/>
      <c r="I19" s="24"/>
      <c r="J19" s="24"/>
      <c r="K19" s="24"/>
    </row>
    <row r="20" spans="1:11" ht="12.75" customHeight="1" x14ac:dyDescent="0.25">
      <c r="A20" s="24"/>
      <c r="B20" s="24"/>
      <c r="C20" s="26"/>
      <c r="D20" s="24"/>
      <c r="E20" s="24"/>
      <c r="F20" s="24"/>
      <c r="G20" s="24"/>
      <c r="H20" s="24"/>
      <c r="I20" s="24"/>
      <c r="J20" s="24"/>
      <c r="K20" s="24"/>
    </row>
    <row r="21" spans="1:11" ht="12.75" customHeight="1" x14ac:dyDescent="0.25">
      <c r="A21" s="24"/>
      <c r="B21" s="24"/>
      <c r="C21" s="26"/>
      <c r="D21" s="24"/>
      <c r="E21" s="24"/>
      <c r="F21" s="24"/>
      <c r="G21" s="24"/>
      <c r="H21" s="24"/>
      <c r="I21" s="24"/>
      <c r="J21" s="24"/>
      <c r="K21" s="24"/>
    </row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B1:B1000">
    <cfRule type="cellIs" dxfId="15" priority="1" operator="equal">
      <formula>"In-progress"</formula>
    </cfRule>
    <cfRule type="cellIs" dxfId="14" priority="2" operator="equal">
      <formula>"Open"</formula>
    </cfRule>
    <cfRule type="cellIs" dxfId="13" priority="3" operator="equal">
      <formula>"Completed"</formula>
    </cfRule>
  </conditionalFormatting>
  <conditionalFormatting sqref="C3:C8">
    <cfRule type="cellIs" dxfId="12" priority="4" operator="equal">
      <formula>0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Traceability Matrix</vt:lpstr>
      <vt:lpstr>Statistics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Sanjit Dutta</dc:creator>
  <cp:lastModifiedBy>Sanjit Dutta</cp:lastModifiedBy>
  <dcterms:created xsi:type="dcterms:W3CDTF">2025-01-17T07:28:38Z</dcterms:created>
  <dcterms:modified xsi:type="dcterms:W3CDTF">2025-12-18T02:35:27Z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598F6F98244746B787345E54C1B88CFB_13</vt:lpwstr>
  </property>
  <property fmtid="{D5CDD505-2E9C-101B-9397-08002B2CF9AE}" pid="3" name="KSOProductBuildVer">
    <vt:lpwstr>1033-12.2.0.19805</vt:lpwstr>
  </property>
</Properties>
</file>